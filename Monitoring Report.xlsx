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e-Go-Live Monitoring Report" sheetId="1" r:id="rId5"/>
    <sheet state="hidden" name="Pre-Go-Live-Dashboard" sheetId="2" r:id="rId6"/>
    <sheet state="visible" name="Post-Go-Live Monitoring Report" sheetId="3" r:id="rId7"/>
    <sheet state="visible" name="Post-Go-Live-Dashboard" sheetId="4" r:id="rId8"/>
  </sheets>
  <definedNames>
    <definedName hidden="1" localSheetId="0" name="_xlnm._FilterDatabase">'Pre-Go-Live Monitoring Report'!$B$1:$U$1000</definedName>
    <definedName hidden="1" localSheetId="2" name="_xlnm._FilterDatabase">'Post-Go-Live Monitoring Report'!$C$2:$Q$1001</definedName>
  </definedNames>
  <calcPr/>
</workbook>
</file>

<file path=xl/sharedStrings.xml><?xml version="1.0" encoding="utf-8"?>
<sst xmlns="http://schemas.openxmlformats.org/spreadsheetml/2006/main" count="562" uniqueCount="212">
  <si>
    <t>Model</t>
  </si>
  <si>
    <t>Model Type</t>
  </si>
  <si>
    <t>Use Case</t>
  </si>
  <si>
    <t>Risk Tier</t>
  </si>
  <si>
    <t>Ative Users (MAU)</t>
  </si>
  <si>
    <t>Accuracy %</t>
  </si>
  <si>
    <t>Error %</t>
  </si>
  <si>
    <t>Drift Index</t>
  </si>
  <si>
    <t>Escalation %</t>
  </si>
  <si>
    <t>Audit Coverage %</t>
  </si>
  <si>
    <t>Cost per Interaction ($)</t>
  </si>
  <si>
    <t>Bias Gap %</t>
  </si>
  <si>
    <t>Red Team Pass %</t>
  </si>
  <si>
    <t>Hallucination % (Test)</t>
  </si>
  <si>
    <t>Inference Cost ($)</t>
  </si>
  <si>
    <t>M01</t>
  </si>
  <si>
    <t>Logistic Regression</t>
  </si>
  <si>
    <t>Credit risk PD model</t>
  </si>
  <si>
    <t>L3 (Low)</t>
  </si>
  <si>
    <t>N/A</t>
  </si>
  <si>
    <t>M02</t>
  </si>
  <si>
    <t>XGBoost</t>
  </si>
  <si>
    <t>Fraud detection</t>
  </si>
  <si>
    <t>L2 (Medium)</t>
  </si>
  <si>
    <t>M03</t>
  </si>
  <si>
    <t>Random Forest</t>
  </si>
  <si>
    <t>AML alert prioritization</t>
  </si>
  <si>
    <t>M04</t>
  </si>
  <si>
    <t>Time Series ARIMA</t>
  </si>
  <si>
    <t>Liquidity forecasting</t>
  </si>
  <si>
    <t>M05</t>
  </si>
  <si>
    <t>Gradient Boosting</t>
  </si>
  <si>
    <t>Loan prepayment prediction</t>
  </si>
  <si>
    <t>M06</t>
  </si>
  <si>
    <t>CNN</t>
  </si>
  <si>
    <t>Check image fraud</t>
  </si>
  <si>
    <t>M07</t>
  </si>
  <si>
    <t>LSTM</t>
  </si>
  <si>
    <t>Transaction anomaly detection</t>
  </si>
  <si>
    <t>M08</t>
  </si>
  <si>
    <t>NLP BERT</t>
  </si>
  <si>
    <t>Complaint classification</t>
  </si>
  <si>
    <t>M09</t>
  </si>
  <si>
    <t>Transformer</t>
  </si>
  <si>
    <t>Document summarization</t>
  </si>
  <si>
    <t>M10</t>
  </si>
  <si>
    <t>GPT fine-tuned</t>
  </si>
  <si>
    <t>Policy drafting</t>
  </si>
  <si>
    <t>M11</t>
  </si>
  <si>
    <t>LLM RAG</t>
  </si>
  <si>
    <t>Regulatory Q&amp;A</t>
  </si>
  <si>
    <t>M12</t>
  </si>
  <si>
    <t>Treasury research</t>
  </si>
  <si>
    <t>M13</t>
  </si>
  <si>
    <t>LLM internal</t>
  </si>
  <si>
    <t>Code assistant</t>
  </si>
  <si>
    <t>M14</t>
  </si>
  <si>
    <t>LLM customer email</t>
  </si>
  <si>
    <t>RM productivity</t>
  </si>
  <si>
    <t>M15</t>
  </si>
  <si>
    <t>Hybrid ML + Rules</t>
  </si>
  <si>
    <t>Sanctions screening</t>
  </si>
  <si>
    <t>M16</t>
  </si>
  <si>
    <t>Reinforcement Learning</t>
  </si>
  <si>
    <t>Trading strategy optimization</t>
  </si>
  <si>
    <t>M17</t>
  </si>
  <si>
    <t>LLM with tools</t>
  </si>
  <si>
    <t>Risk report generation</t>
  </si>
  <si>
    <t>M18</t>
  </si>
  <si>
    <t>Vision Transformer</t>
  </si>
  <si>
    <t>KYC document validation</t>
  </si>
  <si>
    <t>M19</t>
  </si>
  <si>
    <t>Tabular DL</t>
  </si>
  <si>
    <t>Cross-sell prediction</t>
  </si>
  <si>
    <t>M20</t>
  </si>
  <si>
    <t>AutoML</t>
  </si>
  <si>
    <t>SME underwriting</t>
  </si>
  <si>
    <t>M21</t>
  </si>
  <si>
    <t>Agentic workflow</t>
  </si>
  <si>
    <t>Client onboarding assistant</t>
  </si>
  <si>
    <t>L1 (High)</t>
  </si>
  <si>
    <t>M22</t>
  </si>
  <si>
    <t>Multi-agent system</t>
  </si>
  <si>
    <t>Ops exception handling</t>
  </si>
  <si>
    <t>M23</t>
  </si>
  <si>
    <t>LLM decision assist</t>
  </si>
  <si>
    <t>Credit memo drafting</t>
  </si>
  <si>
    <t>M24</t>
  </si>
  <si>
    <t>Speech-to-text AI</t>
  </si>
  <si>
    <t>Call transcription</t>
  </si>
  <si>
    <t>M25</t>
  </si>
  <si>
    <t>Agentic research AI</t>
  </si>
  <si>
    <t>Market intelligence synthesis</t>
  </si>
  <si>
    <t>Metric Category</t>
  </si>
  <si>
    <t>Metric</t>
  </si>
  <si>
    <t>Purpose</t>
  </si>
  <si>
    <t>Target</t>
  </si>
  <si>
    <t>Logging Enabled (Y/N)</t>
  </si>
  <si>
    <t>Monitoring Coverage (%)</t>
  </si>
  <si>
    <t>Alerts Configured (Y/N)</t>
  </si>
  <si>
    <t>Drift Monitoring Enabled (Y/N)</t>
  </si>
  <si>
    <t>Last Reviewed Date</t>
  </si>
  <si>
    <t>Adoption &amp; Usage</t>
  </si>
  <si>
    <t>Active users (DAU/WAU/MAU)</t>
  </si>
  <si>
    <t>Indicates expected adoption</t>
  </si>
  <si>
    <t>Defined forecast</t>
  </si>
  <si>
    <t>Y</t>
  </si>
  <si>
    <t>Task completion rate</t>
  </si>
  <si>
    <t>Measures effectiveness</t>
  </si>
  <si>
    <t>≥ 80%</t>
  </si>
  <si>
    <t>Repeat usage rate</t>
  </si>
  <si>
    <t>Indicates stickiness</t>
  </si>
  <si>
    <t>≥ 50%</t>
  </si>
  <si>
    <t>N</t>
  </si>
  <si>
    <t>Time-to-value</t>
  </si>
  <si>
    <t>Measures speed of value</t>
  </si>
  <si>
    <t>≤ 60 days</t>
  </si>
  <si>
    <t>Quality &amp; Reliability</t>
  </si>
  <si>
    <t>Accuracy / relevance score</t>
  </si>
  <si>
    <t>Ensures usefulness</t>
  </si>
  <si>
    <t>≥ 85%</t>
  </si>
  <si>
    <t>Output variance (drift)</t>
  </si>
  <si>
    <t>Detects instability</t>
  </si>
  <si>
    <t>Stable baseline</t>
  </si>
  <si>
    <t>Error rate</t>
  </si>
  <si>
    <t>Measures reliability</t>
  </si>
  <si>
    <t>≤ 5%</t>
  </si>
  <si>
    <t>MTTR</t>
  </si>
  <si>
    <t>Measures resilience</t>
  </si>
  <si>
    <t>≤ 2 hrs</t>
  </si>
  <si>
    <t>Trust &amp; Governance</t>
  </si>
  <si>
    <t>Escalation rate</t>
  </si>
  <si>
    <t>Indicates risk sensitivity</t>
  </si>
  <si>
    <t>Defined band</t>
  </si>
  <si>
    <t>Compliance incident rate</t>
  </si>
  <si>
    <t>Tracks regulatory risk</t>
  </si>
  <si>
    <t>0 incidents</t>
  </si>
  <si>
    <t>Audit coverage</t>
  </si>
  <si>
    <t>Ensures traceability</t>
  </si>
  <si>
    <t>≥ 95%</t>
  </si>
  <si>
    <t>Explainability satisfaction</t>
  </si>
  <si>
    <t>Measures transparency</t>
  </si>
  <si>
    <t>Cost &amp; Efficiency</t>
  </si>
  <si>
    <t>Cost per interaction</t>
  </si>
  <si>
    <t>Tracks efficiency</t>
  </si>
  <si>
    <t>Within budget</t>
  </si>
  <si>
    <t>TCO</t>
  </si>
  <si>
    <t>Ensures economics</t>
  </si>
  <si>
    <t>Value &gt; Cost</t>
  </si>
  <si>
    <t>Model inference cost</t>
  </si>
  <si>
    <t>Within forecast</t>
  </si>
  <si>
    <t>Human Impact</t>
  </si>
  <si>
    <t>Employee satisfaction</t>
  </si>
  <si>
    <t>Measures experience</t>
  </si>
  <si>
    <t>≥ 75%</t>
  </si>
  <si>
    <t>Manual effort reduction</t>
  </si>
  <si>
    <t>Measures gains</t>
  </si>
  <si>
    <t>Reduction identified</t>
  </si>
  <si>
    <t>Decision quality improvement</t>
  </si>
  <si>
    <t>Positive impact</t>
  </si>
  <si>
    <t>Cost &amp; Benefits</t>
  </si>
  <si>
    <t>Overall Assessment</t>
  </si>
  <si>
    <t>Updated Date</t>
  </si>
  <si>
    <t>Active Users (MAU)</t>
  </si>
  <si>
    <t>Hallucination % (Live)</t>
  </si>
  <si>
    <t>Compliance Incidents</t>
  </si>
  <si>
    <t>ROI Multiple</t>
  </si>
  <si>
    <t>Risk Status</t>
  </si>
  <si>
    <t>2.2x</t>
  </si>
  <si>
    <t>🔴 Critical</t>
  </si>
  <si>
    <t>1.1x</t>
  </si>
  <si>
    <t>🟢 Healthy</t>
  </si>
  <si>
    <t>3.8x</t>
  </si>
  <si>
    <t>🟡 Warning</t>
  </si>
  <si>
    <t>2.6x</t>
  </si>
  <si>
    <t>4.4x</t>
  </si>
  <si>
    <t>4.7x</t>
  </si>
  <si>
    <t>3.9x</t>
  </si>
  <si>
    <t>4.1x</t>
  </si>
  <si>
    <t>3.2x</t>
  </si>
  <si>
    <t>2.5x</t>
  </si>
  <si>
    <t>4.6x</t>
  </si>
  <si>
    <t>0.3x</t>
  </si>
  <si>
    <t>3.4x</t>
  </si>
  <si>
    <t>6.0x</t>
  </si>
  <si>
    <t>3.7x</t>
  </si>
  <si>
    <t>4.2x</t>
  </si>
  <si>
    <t>1.8x</t>
  </si>
  <si>
    <t>4.9x</t>
  </si>
  <si>
    <t>4.3x</t>
  </si>
  <si>
    <t>2.9x</t>
  </si>
  <si>
    <t>4.8x</t>
  </si>
  <si>
    <t>Current Value</t>
  </si>
  <si>
    <t>Target Threshold</t>
  </si>
  <si>
    <t>Status</t>
  </si>
  <si>
    <t>Indicates sustained adoption</t>
  </si>
  <si>
    <t>MoM Growth</t>
  </si>
  <si>
    <t>≥ 60%</t>
  </si>
  <si>
    <t>Measures realized value</t>
  </si>
  <si>
    <t>30–60 days</t>
  </si>
  <si>
    <t>Detects drift</t>
  </si>
  <si>
    <t>Minimal variance</t>
  </si>
  <si>
    <t>Indicates confidence</t>
  </si>
  <si>
    <t>Within band</t>
  </si>
  <si>
    <t>Ensures accountability</t>
  </si>
  <si>
    <t>Measures trust</t>
  </si>
  <si>
    <t>Decreasing</t>
  </si>
  <si>
    <t>L2</t>
  </si>
  <si>
    <t>1% MOM growth</t>
  </si>
  <si>
    <t>Warning</t>
  </si>
  <si>
    <t>Increasing reduction</t>
  </si>
  <si>
    <t>Positive improvement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</si>
</sst>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15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Calibri"/>
    </font>
    <font>
      <color rgb="FF000000"/>
      <name val="&quot;Google Sans Text&quot;"/>
    </font>
    <font>
      <b/>
      <color rgb="FF000000"/>
      <name val="&quot;Google Sans Text&quot;"/>
    </font>
    <font/>
    <font>
      <b/>
      <sz val="9.0"/>
      <color theme="1"/>
      <name val="Arial"/>
      <scheme val="minor"/>
    </font>
    <font>
      <color theme="1"/>
      <name val="Google Sans Text"/>
    </font>
    <font>
      <sz val="9.0"/>
      <color rgb="FFFFFFFF"/>
      <name val="Calibri"/>
    </font>
    <font>
      <sz val="9.0"/>
      <color rgb="FFFFFFF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3" numFmtId="0" xfId="0" applyFont="1"/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 readingOrder="0"/>
    </xf>
    <xf borderId="0" fillId="0" fontId="5" numFmtId="3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left" readingOrder="0"/>
    </xf>
    <xf borderId="0" fillId="0" fontId="4" numFmtId="3" xfId="0" applyAlignment="1" applyFont="1" applyNumberForma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5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9" xfId="0" applyAlignment="1" applyFont="1" applyNumberFormat="1">
      <alignment readingOrder="0"/>
    </xf>
    <xf borderId="0" fillId="0" fontId="8" numFmtId="0" xfId="0" applyFont="1"/>
    <xf borderId="0" fillId="0" fontId="8" numFmtId="10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2" fillId="3" fontId="2" numFmtId="0" xfId="0" applyAlignment="1" applyBorder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0" fillId="3" fontId="11" numFmtId="0" xfId="0" applyAlignment="1" applyFont="1">
      <alignment readingOrder="0"/>
    </xf>
    <xf borderId="0" fillId="0" fontId="7" numFmtId="3" xfId="0" applyAlignment="1" applyFont="1" applyNumberFormat="1">
      <alignment horizontal="left" readingOrder="0" shrinkToFit="0" vertical="bottom" wrapText="0"/>
    </xf>
    <xf borderId="0" fillId="4" fontId="5" numFmtId="3" xfId="0" applyAlignment="1" applyFill="1" applyFont="1" applyNumberFormat="1">
      <alignment horizontal="left" readingOrder="0"/>
    </xf>
    <xf borderId="0" fillId="0" fontId="12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bottom" wrapText="0"/>
    </xf>
    <xf borderId="0" fillId="5" fontId="5" numFmtId="0" xfId="0" applyAlignment="1" applyFill="1" applyFont="1">
      <alignment horizontal="left" readingOrder="0"/>
    </xf>
    <xf borderId="0" fillId="6" fontId="5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1" fillId="7" fontId="13" numFmtId="0" xfId="0" applyAlignment="1" applyBorder="1" applyFill="1" applyFont="1">
      <alignment readingOrder="0" shrinkToFit="0" vertical="bottom" wrapText="0"/>
    </xf>
    <xf borderId="1" fillId="7" fontId="14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0"/>
    </xf>
    <xf borderId="1" fillId="6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6" fontId="3" numFmtId="3" xfId="0" applyBorder="1" applyFont="1" applyNumberFormat="1"/>
    <xf borderId="1" fillId="6" fontId="3" numFmtId="0" xfId="0" applyBorder="1" applyFont="1"/>
    <xf borderId="1" fillId="0" fontId="7" numFmtId="165" xfId="0" applyAlignment="1" applyBorder="1" applyFont="1" applyNumberFormat="1">
      <alignment readingOrder="0" shrinkToFit="0" vertical="bottom" wrapText="0"/>
    </xf>
    <xf borderId="1" fillId="6" fontId="3" numFmtId="0" xfId="0" applyAlignment="1" applyBorder="1" applyFont="1">
      <alignment readingOrder="0"/>
    </xf>
    <xf borderId="0" fillId="0" fontId="8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6.63"/>
    <col customWidth="1" min="3" max="3" width="2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</row>
    <row r="2">
      <c r="A2" s="5" t="s">
        <v>15</v>
      </c>
      <c r="B2" s="6" t="s">
        <v>16</v>
      </c>
      <c r="C2" s="6" t="s">
        <v>17</v>
      </c>
      <c r="D2" s="7" t="s">
        <v>18</v>
      </c>
      <c r="E2" s="8">
        <v>320.0</v>
      </c>
      <c r="F2" s="7">
        <v>82.0</v>
      </c>
      <c r="G2" s="6">
        <v>6.2</v>
      </c>
      <c r="H2" s="6">
        <v>0.04</v>
      </c>
      <c r="I2" s="6">
        <v>5.0</v>
      </c>
      <c r="J2" s="6">
        <v>95.0</v>
      </c>
      <c r="K2" s="9">
        <v>0.12</v>
      </c>
      <c r="L2" s="10">
        <v>1.8</v>
      </c>
      <c r="M2" s="11" t="s">
        <v>19</v>
      </c>
      <c r="N2" s="11" t="s">
        <v>19</v>
      </c>
      <c r="O2" s="11">
        <v>0.11</v>
      </c>
      <c r="P2" s="4"/>
      <c r="Q2" s="4"/>
      <c r="R2" s="4"/>
      <c r="S2" s="4"/>
      <c r="T2" s="4"/>
      <c r="U2" s="4"/>
    </row>
    <row r="3">
      <c r="A3" s="5" t="s">
        <v>20</v>
      </c>
      <c r="B3" s="6" t="s">
        <v>21</v>
      </c>
      <c r="C3" s="6" t="s">
        <v>22</v>
      </c>
      <c r="D3" s="7" t="s">
        <v>23</v>
      </c>
      <c r="E3" s="8">
        <v>410.0</v>
      </c>
      <c r="F3" s="7">
        <v>88.0</v>
      </c>
      <c r="G3" s="6">
        <v>4.1</v>
      </c>
      <c r="H3" s="6">
        <v>0.07</v>
      </c>
      <c r="I3" s="6">
        <v>8.0</v>
      </c>
      <c r="J3" s="6">
        <v>92.0</v>
      </c>
      <c r="K3" s="9">
        <v>0.18</v>
      </c>
      <c r="L3" s="10">
        <v>2.1</v>
      </c>
      <c r="M3" s="11" t="s">
        <v>19</v>
      </c>
      <c r="N3" s="11" t="s">
        <v>19</v>
      </c>
      <c r="O3" s="11">
        <v>0.17</v>
      </c>
      <c r="P3" s="4"/>
      <c r="Q3" s="4"/>
      <c r="R3" s="4"/>
      <c r="S3" s="4"/>
      <c r="T3" s="4"/>
      <c r="U3" s="4"/>
    </row>
    <row r="4">
      <c r="A4" s="5" t="s">
        <v>24</v>
      </c>
      <c r="B4" s="6" t="s">
        <v>25</v>
      </c>
      <c r="C4" s="6" t="s">
        <v>26</v>
      </c>
      <c r="D4" s="6" t="s">
        <v>23</v>
      </c>
      <c r="E4" s="8">
        <v>280.0</v>
      </c>
      <c r="F4" s="6">
        <v>84.0</v>
      </c>
      <c r="G4" s="6">
        <v>5.5</v>
      </c>
      <c r="H4" s="6">
        <v>0.09</v>
      </c>
      <c r="I4" s="6">
        <v>10.0</v>
      </c>
      <c r="J4" s="6">
        <v>90.0</v>
      </c>
      <c r="K4" s="9">
        <v>0.22</v>
      </c>
      <c r="L4" s="11">
        <v>2.4</v>
      </c>
      <c r="M4" s="11" t="s">
        <v>19</v>
      </c>
      <c r="N4" s="11" t="s">
        <v>19</v>
      </c>
      <c r="O4" s="11">
        <v>0.21</v>
      </c>
      <c r="P4" s="4"/>
      <c r="Q4" s="4"/>
      <c r="R4" s="4"/>
      <c r="S4" s="4"/>
      <c r="T4" s="4"/>
      <c r="U4" s="4"/>
    </row>
    <row r="5">
      <c r="A5" s="5" t="s">
        <v>27</v>
      </c>
      <c r="B5" s="6" t="s">
        <v>28</v>
      </c>
      <c r="C5" s="6" t="s">
        <v>29</v>
      </c>
      <c r="D5" s="7" t="s">
        <v>18</v>
      </c>
      <c r="E5" s="8">
        <v>95.0</v>
      </c>
      <c r="F5" s="7">
        <v>79.0</v>
      </c>
      <c r="G5" s="6">
        <v>7.8</v>
      </c>
      <c r="H5" s="6">
        <v>0.11</v>
      </c>
      <c r="I5" s="6">
        <v>12.0</v>
      </c>
      <c r="J5" s="6">
        <v>88.0</v>
      </c>
      <c r="K5" s="9">
        <v>0.15</v>
      </c>
      <c r="L5" s="10">
        <v>1.5</v>
      </c>
      <c r="M5" s="11" t="s">
        <v>19</v>
      </c>
      <c r="N5" s="11" t="s">
        <v>19</v>
      </c>
      <c r="O5" s="11">
        <v>0.14</v>
      </c>
      <c r="P5" s="4"/>
      <c r="Q5" s="4"/>
      <c r="R5" s="4"/>
      <c r="S5" s="4"/>
      <c r="T5" s="4"/>
      <c r="U5" s="4"/>
    </row>
    <row r="6">
      <c r="A6" s="5" t="s">
        <v>30</v>
      </c>
      <c r="B6" s="6" t="s">
        <v>31</v>
      </c>
      <c r="C6" s="6" t="s">
        <v>32</v>
      </c>
      <c r="D6" s="7" t="s">
        <v>18</v>
      </c>
      <c r="E6" s="8">
        <v>260.0</v>
      </c>
      <c r="F6" s="6">
        <v>83.0</v>
      </c>
      <c r="G6" s="6">
        <v>6.0</v>
      </c>
      <c r="H6" s="6">
        <v>0.08</v>
      </c>
      <c r="I6" s="6">
        <v>9.0</v>
      </c>
      <c r="J6" s="6">
        <v>90.0</v>
      </c>
      <c r="K6" s="6">
        <v>0.21</v>
      </c>
      <c r="L6" s="11">
        <v>2.0</v>
      </c>
      <c r="M6" s="11" t="s">
        <v>19</v>
      </c>
      <c r="N6" s="11" t="s">
        <v>19</v>
      </c>
      <c r="O6" s="11">
        <v>0.2</v>
      </c>
      <c r="P6" s="4"/>
      <c r="Q6" s="4"/>
      <c r="R6" s="4"/>
      <c r="S6" s="4"/>
      <c r="T6" s="4"/>
      <c r="U6" s="4"/>
    </row>
    <row r="7">
      <c r="A7" s="5" t="s">
        <v>33</v>
      </c>
      <c r="B7" s="6" t="s">
        <v>34</v>
      </c>
      <c r="C7" s="6" t="s">
        <v>35</v>
      </c>
      <c r="D7" s="7" t="s">
        <v>23</v>
      </c>
      <c r="E7" s="8">
        <v>150.0</v>
      </c>
      <c r="F7" s="6">
        <v>91.0</v>
      </c>
      <c r="G7" s="6">
        <v>3.5</v>
      </c>
      <c r="H7" s="6">
        <v>0.06</v>
      </c>
      <c r="I7" s="6">
        <v>7.0</v>
      </c>
      <c r="J7" s="6">
        <v>85.0</v>
      </c>
      <c r="K7" s="6">
        <v>0.35</v>
      </c>
      <c r="L7" s="11">
        <v>1.7</v>
      </c>
      <c r="M7" s="11" t="s">
        <v>19</v>
      </c>
      <c r="N7" s="11" t="s">
        <v>19</v>
      </c>
      <c r="O7" s="11">
        <v>0.34</v>
      </c>
      <c r="P7" s="4"/>
      <c r="Q7" s="4"/>
      <c r="R7" s="4"/>
      <c r="S7" s="4"/>
      <c r="T7" s="4"/>
      <c r="U7" s="4"/>
    </row>
    <row r="8">
      <c r="A8" s="5" t="s">
        <v>36</v>
      </c>
      <c r="B8" s="6" t="s">
        <v>37</v>
      </c>
      <c r="C8" s="6" t="s">
        <v>38</v>
      </c>
      <c r="D8" s="7" t="s">
        <v>18</v>
      </c>
      <c r="E8" s="8">
        <v>180.0</v>
      </c>
      <c r="F8" s="6">
        <v>87.0</v>
      </c>
      <c r="G8" s="6">
        <v>4.6</v>
      </c>
      <c r="H8" s="6">
        <v>0.1</v>
      </c>
      <c r="I8" s="6">
        <v>11.0</v>
      </c>
      <c r="J8" s="6">
        <v>84.0</v>
      </c>
      <c r="K8" s="6">
        <v>0.42</v>
      </c>
      <c r="L8" s="11">
        <v>2.3</v>
      </c>
      <c r="M8" s="11" t="s">
        <v>19</v>
      </c>
      <c r="N8" s="11" t="s">
        <v>19</v>
      </c>
      <c r="O8" s="11">
        <v>0.4</v>
      </c>
      <c r="P8" s="4"/>
      <c r="Q8" s="4"/>
      <c r="R8" s="4"/>
      <c r="S8" s="4"/>
      <c r="T8" s="4"/>
      <c r="U8" s="4"/>
    </row>
    <row r="9">
      <c r="A9" s="5" t="s">
        <v>39</v>
      </c>
      <c r="B9" s="6" t="s">
        <v>40</v>
      </c>
      <c r="C9" s="6" t="s">
        <v>41</v>
      </c>
      <c r="D9" s="7" t="s">
        <v>18</v>
      </c>
      <c r="E9" s="8">
        <v>220.0</v>
      </c>
      <c r="F9" s="6">
        <v>89.0</v>
      </c>
      <c r="G9" s="6">
        <v>3.8</v>
      </c>
      <c r="H9" s="6">
        <v>0.13</v>
      </c>
      <c r="I9" s="6">
        <v>15.0</v>
      </c>
      <c r="J9" s="6">
        <v>82.0</v>
      </c>
      <c r="K9" s="6">
        <v>0.48</v>
      </c>
      <c r="L9" s="11">
        <v>2.6</v>
      </c>
      <c r="M9" s="11">
        <v>88.0</v>
      </c>
      <c r="N9" s="11" t="s">
        <v>19</v>
      </c>
      <c r="O9" s="11">
        <v>0.46</v>
      </c>
      <c r="P9" s="4"/>
      <c r="Q9" s="4"/>
      <c r="R9" s="4"/>
      <c r="S9" s="4"/>
      <c r="T9" s="4"/>
      <c r="U9" s="4"/>
    </row>
    <row r="10">
      <c r="A10" s="5" t="s">
        <v>42</v>
      </c>
      <c r="B10" s="6" t="s">
        <v>43</v>
      </c>
      <c r="C10" s="6" t="s">
        <v>44</v>
      </c>
      <c r="D10" s="7" t="s">
        <v>18</v>
      </c>
      <c r="E10" s="8">
        <v>140.0</v>
      </c>
      <c r="F10" s="6">
        <v>76.0</v>
      </c>
      <c r="G10" s="6">
        <v>9.2</v>
      </c>
      <c r="H10" s="6">
        <v>0.18</v>
      </c>
      <c r="I10" s="6">
        <v>20.0</v>
      </c>
      <c r="J10" s="6">
        <v>80.0</v>
      </c>
      <c r="K10" s="6">
        <v>0.63</v>
      </c>
      <c r="L10" s="11">
        <v>3.1</v>
      </c>
      <c r="M10" s="11">
        <v>84.0</v>
      </c>
      <c r="N10" s="11">
        <v>12.0</v>
      </c>
      <c r="O10" s="11">
        <v>0.62</v>
      </c>
      <c r="P10" s="4"/>
      <c r="Q10" s="4"/>
      <c r="R10" s="4"/>
      <c r="S10" s="4"/>
      <c r="T10" s="4"/>
      <c r="U10" s="4"/>
    </row>
    <row r="11">
      <c r="A11" s="5" t="s">
        <v>45</v>
      </c>
      <c r="B11" s="6" t="s">
        <v>46</v>
      </c>
      <c r="C11" s="6" t="s">
        <v>47</v>
      </c>
      <c r="D11" s="7" t="s">
        <v>18</v>
      </c>
      <c r="E11" s="8">
        <v>160.0</v>
      </c>
      <c r="F11" s="6">
        <v>74.0</v>
      </c>
      <c r="G11" s="6">
        <v>10.5</v>
      </c>
      <c r="H11" s="6">
        <v>0.21</v>
      </c>
      <c r="I11" s="6">
        <v>24.0</v>
      </c>
      <c r="J11" s="6">
        <v>78.0</v>
      </c>
      <c r="K11" s="6">
        <v>0.84</v>
      </c>
      <c r="L11" s="11">
        <v>3.4</v>
      </c>
      <c r="M11" s="11">
        <v>82.0</v>
      </c>
      <c r="N11" s="11">
        <v>15.0</v>
      </c>
      <c r="O11" s="11">
        <v>0.83</v>
      </c>
      <c r="P11" s="4"/>
      <c r="Q11" s="4"/>
      <c r="R11" s="4"/>
      <c r="S11" s="4"/>
      <c r="T11" s="4"/>
      <c r="U11" s="4"/>
    </row>
    <row r="12">
      <c r="A12" s="5" t="s">
        <v>48</v>
      </c>
      <c r="B12" s="6" t="s">
        <v>49</v>
      </c>
      <c r="C12" s="6" t="s">
        <v>50</v>
      </c>
      <c r="D12" s="6" t="s">
        <v>23</v>
      </c>
      <c r="E12" s="8">
        <v>190.0</v>
      </c>
      <c r="F12" s="6">
        <v>72.0</v>
      </c>
      <c r="G12" s="6">
        <v>11.3</v>
      </c>
      <c r="H12" s="6">
        <v>0.24</v>
      </c>
      <c r="I12" s="6">
        <v>27.0</v>
      </c>
      <c r="J12" s="6">
        <v>76.0</v>
      </c>
      <c r="K12" s="6">
        <v>0.88</v>
      </c>
      <c r="L12" s="11">
        <v>3.0</v>
      </c>
      <c r="M12" s="11">
        <v>85.0</v>
      </c>
      <c r="N12" s="11">
        <v>13.0</v>
      </c>
      <c r="O12" s="11">
        <v>0.87</v>
      </c>
      <c r="P12" s="4"/>
      <c r="Q12" s="4"/>
      <c r="R12" s="4"/>
      <c r="S12" s="4"/>
      <c r="T12" s="4"/>
      <c r="U12" s="4"/>
    </row>
    <row r="13">
      <c r="A13" s="5" t="s">
        <v>51</v>
      </c>
      <c r="B13" s="6" t="s">
        <v>49</v>
      </c>
      <c r="C13" s="6" t="s">
        <v>52</v>
      </c>
      <c r="D13" s="6" t="s">
        <v>23</v>
      </c>
      <c r="E13" s="8">
        <v>175.0</v>
      </c>
      <c r="F13" s="6">
        <v>73.0</v>
      </c>
      <c r="G13" s="6">
        <v>10.8</v>
      </c>
      <c r="H13" s="6">
        <v>0.23</v>
      </c>
      <c r="I13" s="6">
        <v>26.0</v>
      </c>
      <c r="J13" s="6">
        <v>75.0</v>
      </c>
      <c r="K13" s="6">
        <v>0.86</v>
      </c>
      <c r="L13" s="11">
        <v>3.2</v>
      </c>
      <c r="M13" s="11">
        <v>83.0</v>
      </c>
      <c r="N13" s="11">
        <v>14.0</v>
      </c>
      <c r="O13" s="11">
        <v>0.85</v>
      </c>
      <c r="P13" s="4"/>
      <c r="Q13" s="4"/>
      <c r="R13" s="4"/>
      <c r="S13" s="4"/>
      <c r="T13" s="4"/>
      <c r="U13" s="4"/>
    </row>
    <row r="14">
      <c r="A14" s="5" t="s">
        <v>53</v>
      </c>
      <c r="B14" s="6" t="s">
        <v>54</v>
      </c>
      <c r="C14" s="6" t="s">
        <v>55</v>
      </c>
      <c r="D14" s="6" t="s">
        <v>23</v>
      </c>
      <c r="E14" s="8">
        <v>210.0</v>
      </c>
      <c r="F14" s="6">
        <v>81.0</v>
      </c>
      <c r="G14" s="6">
        <v>7.0</v>
      </c>
      <c r="H14" s="6">
        <v>0.19</v>
      </c>
      <c r="I14" s="6">
        <v>18.0</v>
      </c>
      <c r="J14" s="6">
        <v>82.0</v>
      </c>
      <c r="K14" s="6">
        <v>0.72</v>
      </c>
      <c r="L14" s="11">
        <v>2.8</v>
      </c>
      <c r="M14" s="11">
        <v>86.0</v>
      </c>
      <c r="N14" s="11">
        <v>11.0</v>
      </c>
      <c r="O14" s="11">
        <v>0.71</v>
      </c>
      <c r="P14" s="4"/>
      <c r="Q14" s="4"/>
      <c r="R14" s="4"/>
      <c r="S14" s="4"/>
      <c r="T14" s="4"/>
      <c r="U14" s="4"/>
    </row>
    <row r="15">
      <c r="A15" s="5" t="s">
        <v>56</v>
      </c>
      <c r="B15" s="6" t="s">
        <v>57</v>
      </c>
      <c r="C15" s="6" t="s">
        <v>58</v>
      </c>
      <c r="D15" s="7" t="s">
        <v>18</v>
      </c>
      <c r="E15" s="8">
        <v>155.0</v>
      </c>
      <c r="F15" s="6">
        <v>75.0</v>
      </c>
      <c r="G15" s="6">
        <v>9.8</v>
      </c>
      <c r="H15" s="6">
        <v>0.22</v>
      </c>
      <c r="I15" s="6">
        <v>25.0</v>
      </c>
      <c r="J15" s="6">
        <v>78.0</v>
      </c>
      <c r="K15" s="6">
        <v>0.81</v>
      </c>
      <c r="L15" s="11">
        <v>3.5</v>
      </c>
      <c r="M15" s="11">
        <v>80.0</v>
      </c>
      <c r="N15" s="11">
        <v>16.0</v>
      </c>
      <c r="O15" s="11">
        <v>0.8</v>
      </c>
      <c r="P15" s="4"/>
      <c r="Q15" s="4"/>
      <c r="R15" s="4"/>
      <c r="S15" s="4"/>
      <c r="T15" s="4"/>
      <c r="U15" s="4"/>
    </row>
    <row r="16">
      <c r="A16" s="5" t="s">
        <v>59</v>
      </c>
      <c r="B16" s="6" t="s">
        <v>60</v>
      </c>
      <c r="C16" s="6" t="s">
        <v>61</v>
      </c>
      <c r="D16" s="7" t="s">
        <v>18</v>
      </c>
      <c r="E16" s="8">
        <v>350.0</v>
      </c>
      <c r="F16" s="6">
        <v>90.0</v>
      </c>
      <c r="G16" s="6">
        <v>3.9</v>
      </c>
      <c r="H16" s="6">
        <v>0.05</v>
      </c>
      <c r="I16" s="6">
        <v>6.0</v>
      </c>
      <c r="J16" s="6">
        <v>94.0</v>
      </c>
      <c r="K16" s="6">
        <v>0.3</v>
      </c>
      <c r="L16" s="11">
        <v>1.6</v>
      </c>
      <c r="M16" s="11">
        <v>92.0</v>
      </c>
      <c r="N16" s="11">
        <v>3.0</v>
      </c>
      <c r="O16" s="11">
        <v>0.29</v>
      </c>
      <c r="P16" s="4"/>
      <c r="Q16" s="4"/>
      <c r="R16" s="4"/>
      <c r="S16" s="4"/>
      <c r="T16" s="4"/>
      <c r="U16" s="4"/>
    </row>
    <row r="17">
      <c r="A17" s="5" t="s">
        <v>62</v>
      </c>
      <c r="B17" s="6" t="s">
        <v>63</v>
      </c>
      <c r="C17" s="6" t="s">
        <v>64</v>
      </c>
      <c r="D17" s="6" t="s">
        <v>23</v>
      </c>
      <c r="E17" s="8">
        <v>60.0</v>
      </c>
      <c r="F17" s="6">
        <v>77.0</v>
      </c>
      <c r="G17" s="6">
        <v>8.9</v>
      </c>
      <c r="H17" s="6">
        <v>0.15</v>
      </c>
      <c r="I17" s="6">
        <v>14.0</v>
      </c>
      <c r="J17" s="6">
        <v>83.0</v>
      </c>
      <c r="K17" s="6">
        <v>0.55</v>
      </c>
      <c r="L17" s="11">
        <v>2.2</v>
      </c>
      <c r="M17" s="11">
        <v>88.0</v>
      </c>
      <c r="N17" s="11" t="s">
        <v>19</v>
      </c>
      <c r="O17" s="11">
        <v>0.53</v>
      </c>
      <c r="P17" s="4"/>
      <c r="Q17" s="4"/>
      <c r="R17" s="4"/>
      <c r="S17" s="4"/>
      <c r="T17" s="4"/>
      <c r="U17" s="4"/>
    </row>
    <row r="18">
      <c r="A18" s="5" t="s">
        <v>65</v>
      </c>
      <c r="B18" s="6" t="s">
        <v>66</v>
      </c>
      <c r="C18" s="6" t="s">
        <v>67</v>
      </c>
      <c r="D18" s="6" t="s">
        <v>23</v>
      </c>
      <c r="E18" s="8">
        <v>120.0</v>
      </c>
      <c r="F18" s="6">
        <v>74.0</v>
      </c>
      <c r="G18" s="6">
        <v>10.2</v>
      </c>
      <c r="H18" s="6">
        <v>0.2</v>
      </c>
      <c r="I18" s="6">
        <v>23.0</v>
      </c>
      <c r="J18" s="6">
        <v>77.0</v>
      </c>
      <c r="K18" s="6">
        <v>0.82</v>
      </c>
      <c r="L18" s="11">
        <v>3.1</v>
      </c>
      <c r="M18" s="11">
        <v>82.0</v>
      </c>
      <c r="N18" s="11">
        <v>17.0</v>
      </c>
      <c r="O18" s="11">
        <v>0.81</v>
      </c>
      <c r="P18" s="4"/>
      <c r="Q18" s="4"/>
      <c r="R18" s="4"/>
      <c r="S18" s="4"/>
      <c r="T18" s="4"/>
      <c r="U18" s="4"/>
    </row>
    <row r="19">
      <c r="A19" s="5" t="s">
        <v>68</v>
      </c>
      <c r="B19" s="6" t="s">
        <v>69</v>
      </c>
      <c r="C19" s="6" t="s">
        <v>70</v>
      </c>
      <c r="D19" s="6" t="s">
        <v>23</v>
      </c>
      <c r="E19" s="8">
        <v>130.0</v>
      </c>
      <c r="F19" s="6">
        <v>92.0</v>
      </c>
      <c r="G19" s="6">
        <v>3.2</v>
      </c>
      <c r="H19" s="6">
        <v>0.06</v>
      </c>
      <c r="I19" s="6">
        <v>6.0</v>
      </c>
      <c r="J19" s="6">
        <v>91.0</v>
      </c>
      <c r="K19" s="6">
        <v>0.38</v>
      </c>
      <c r="L19" s="11">
        <v>1.4</v>
      </c>
      <c r="M19" s="11">
        <v>93.0</v>
      </c>
      <c r="N19" s="11">
        <v>2.0</v>
      </c>
      <c r="O19" s="11">
        <v>0.36</v>
      </c>
      <c r="P19" s="4"/>
      <c r="Q19" s="4"/>
      <c r="R19" s="4"/>
      <c r="S19" s="4"/>
      <c r="T19" s="4"/>
      <c r="U19" s="4"/>
    </row>
    <row r="20">
      <c r="A20" s="5" t="s">
        <v>71</v>
      </c>
      <c r="B20" s="6" t="s">
        <v>72</v>
      </c>
      <c r="C20" s="6" t="s">
        <v>73</v>
      </c>
      <c r="D20" s="6" t="s">
        <v>23</v>
      </c>
      <c r="E20" s="8">
        <v>240.0</v>
      </c>
      <c r="F20" s="6">
        <v>85.0</v>
      </c>
      <c r="G20" s="6">
        <v>5.1</v>
      </c>
      <c r="H20" s="6">
        <v>0.09</v>
      </c>
      <c r="I20" s="6">
        <v>9.0</v>
      </c>
      <c r="J20" s="6">
        <v>89.0</v>
      </c>
      <c r="K20" s="6">
        <v>0.27</v>
      </c>
      <c r="L20" s="11">
        <v>2.0</v>
      </c>
      <c r="M20" s="11" t="s">
        <v>19</v>
      </c>
      <c r="N20" s="11" t="s">
        <v>19</v>
      </c>
      <c r="O20" s="11">
        <v>0.26</v>
      </c>
      <c r="P20" s="4"/>
      <c r="Q20" s="4"/>
      <c r="R20" s="4"/>
      <c r="S20" s="4"/>
      <c r="T20" s="4"/>
      <c r="U20" s="4"/>
    </row>
    <row r="21">
      <c r="A21" s="5" t="s">
        <v>74</v>
      </c>
      <c r="B21" s="6" t="s">
        <v>75</v>
      </c>
      <c r="C21" s="6" t="s">
        <v>76</v>
      </c>
      <c r="D21" s="6" t="s">
        <v>23</v>
      </c>
      <c r="E21" s="8">
        <v>200.0</v>
      </c>
      <c r="F21" s="6">
        <v>83.0</v>
      </c>
      <c r="G21" s="6">
        <v>6.3</v>
      </c>
      <c r="H21" s="6">
        <v>0.1</v>
      </c>
      <c r="I21" s="6">
        <v>12.0</v>
      </c>
      <c r="J21" s="6">
        <v>88.0</v>
      </c>
      <c r="K21" s="6">
        <v>0.25</v>
      </c>
      <c r="L21" s="11">
        <v>2.3</v>
      </c>
      <c r="M21" s="11" t="s">
        <v>19</v>
      </c>
      <c r="N21" s="11" t="s">
        <v>19</v>
      </c>
      <c r="O21" s="11">
        <v>0.24</v>
      </c>
      <c r="P21" s="4"/>
      <c r="Q21" s="4"/>
      <c r="R21" s="4"/>
      <c r="S21" s="4"/>
      <c r="T21" s="4"/>
      <c r="U21" s="4"/>
    </row>
    <row r="22">
      <c r="A22" s="5" t="s">
        <v>77</v>
      </c>
      <c r="B22" s="6" t="s">
        <v>78</v>
      </c>
      <c r="C22" s="6" t="s">
        <v>79</v>
      </c>
      <c r="D22" s="6" t="s">
        <v>80</v>
      </c>
      <c r="E22" s="8">
        <v>85.0</v>
      </c>
      <c r="F22" s="6">
        <v>70.0</v>
      </c>
      <c r="G22" s="6">
        <v>12.5</v>
      </c>
      <c r="H22" s="6">
        <v>0.26</v>
      </c>
      <c r="I22" s="6">
        <v>30.0</v>
      </c>
      <c r="J22" s="6">
        <v>72.0</v>
      </c>
      <c r="K22" s="6">
        <v>1.1</v>
      </c>
      <c r="L22" s="11">
        <v>3.8</v>
      </c>
      <c r="M22" s="11">
        <v>75.0</v>
      </c>
      <c r="N22" s="11">
        <v>22.0</v>
      </c>
      <c r="O22" s="11">
        <v>1.1</v>
      </c>
      <c r="P22" s="4"/>
      <c r="Q22" s="4"/>
      <c r="R22" s="4"/>
      <c r="S22" s="4"/>
      <c r="T22" s="4"/>
      <c r="U22" s="4"/>
    </row>
    <row r="23">
      <c r="A23" s="5" t="s">
        <v>81</v>
      </c>
      <c r="B23" s="6" t="s">
        <v>82</v>
      </c>
      <c r="C23" s="6" t="s">
        <v>83</v>
      </c>
      <c r="D23" s="6" t="s">
        <v>23</v>
      </c>
      <c r="E23" s="8">
        <v>70.0</v>
      </c>
      <c r="F23" s="6">
        <v>68.0</v>
      </c>
      <c r="G23" s="6">
        <v>13.8</v>
      </c>
      <c r="H23" s="6">
        <v>0.29</v>
      </c>
      <c r="I23" s="6">
        <v>34.0</v>
      </c>
      <c r="J23" s="6">
        <v>70.0</v>
      </c>
      <c r="K23" s="6">
        <v>1.25</v>
      </c>
      <c r="L23" s="11">
        <v>4.1</v>
      </c>
      <c r="M23" s="11">
        <v>72.0</v>
      </c>
      <c r="N23" s="11">
        <v>25.0</v>
      </c>
      <c r="O23" s="11">
        <v>1.22</v>
      </c>
      <c r="P23" s="4"/>
      <c r="Q23" s="4"/>
      <c r="R23" s="4"/>
      <c r="S23" s="4"/>
      <c r="T23" s="4"/>
      <c r="U23" s="4"/>
    </row>
    <row r="24">
      <c r="A24" s="5" t="s">
        <v>84</v>
      </c>
      <c r="B24" s="6" t="s">
        <v>85</v>
      </c>
      <c r="C24" s="6" t="s">
        <v>86</v>
      </c>
      <c r="D24" s="6" t="s">
        <v>23</v>
      </c>
      <c r="E24" s="8">
        <v>145.0</v>
      </c>
      <c r="F24" s="6">
        <v>73.0</v>
      </c>
      <c r="G24" s="6">
        <v>11.0</v>
      </c>
      <c r="H24" s="6">
        <v>0.23</v>
      </c>
      <c r="I24" s="6">
        <v>28.0</v>
      </c>
      <c r="J24" s="6">
        <v>76.0</v>
      </c>
      <c r="K24" s="6">
        <v>0.9</v>
      </c>
      <c r="L24" s="11">
        <v>3.2</v>
      </c>
      <c r="M24" s="11">
        <v>83.0</v>
      </c>
      <c r="N24" s="11">
        <v>14.0</v>
      </c>
      <c r="O24" s="11">
        <v>0.89</v>
      </c>
      <c r="P24" s="4"/>
      <c r="Q24" s="4"/>
      <c r="R24" s="4"/>
      <c r="S24" s="4"/>
      <c r="T24" s="4"/>
      <c r="U24" s="4"/>
    </row>
    <row r="25">
      <c r="A25" s="5" t="s">
        <v>87</v>
      </c>
      <c r="B25" s="6" t="s">
        <v>88</v>
      </c>
      <c r="C25" s="6" t="s">
        <v>89</v>
      </c>
      <c r="D25" s="6" t="s">
        <v>23</v>
      </c>
      <c r="E25" s="8">
        <v>260.0</v>
      </c>
      <c r="F25" s="6">
        <v>86.0</v>
      </c>
      <c r="G25" s="6">
        <v>4.8</v>
      </c>
      <c r="H25" s="6">
        <v>0.12</v>
      </c>
      <c r="I25" s="6">
        <v>13.0</v>
      </c>
      <c r="J25" s="6">
        <v>85.0</v>
      </c>
      <c r="K25" s="6">
        <v>0.46</v>
      </c>
      <c r="L25" s="11">
        <v>2.7</v>
      </c>
      <c r="M25" s="11">
        <v>88.0</v>
      </c>
      <c r="N25" s="11">
        <v>4.0</v>
      </c>
      <c r="O25" s="11">
        <v>0.44</v>
      </c>
      <c r="P25" s="4"/>
      <c r="Q25" s="4"/>
      <c r="R25" s="4"/>
      <c r="S25" s="4"/>
      <c r="T25" s="4"/>
      <c r="U25" s="4"/>
    </row>
    <row r="26">
      <c r="A26" s="5" t="s">
        <v>90</v>
      </c>
      <c r="B26" s="6" t="s">
        <v>91</v>
      </c>
      <c r="C26" s="6" t="s">
        <v>92</v>
      </c>
      <c r="D26" s="6" t="s">
        <v>23</v>
      </c>
      <c r="E26" s="8">
        <v>65.0</v>
      </c>
      <c r="F26" s="6">
        <v>66.0</v>
      </c>
      <c r="G26" s="6">
        <v>15.2</v>
      </c>
      <c r="H26" s="6">
        <v>0.31</v>
      </c>
      <c r="I26" s="6">
        <v>38.0</v>
      </c>
      <c r="J26" s="6">
        <v>68.0</v>
      </c>
      <c r="K26" s="6">
        <v>1.4</v>
      </c>
      <c r="L26" s="11">
        <v>4.5</v>
      </c>
      <c r="M26" s="11">
        <v>70.0</v>
      </c>
      <c r="N26" s="11">
        <v>28.0</v>
      </c>
      <c r="O26" s="11">
        <v>1.38</v>
      </c>
      <c r="P26" s="4"/>
      <c r="Q26" s="4"/>
      <c r="R26" s="4"/>
      <c r="S26" s="4"/>
      <c r="T26" s="4"/>
      <c r="U26" s="4"/>
    </row>
    <row r="27">
      <c r="A27" s="12"/>
      <c r="B27" s="4"/>
      <c r="C27" s="4"/>
      <c r="D27" s="4"/>
      <c r="E27" s="4"/>
      <c r="F27" s="4"/>
      <c r="G27" s="4"/>
      <c r="H27" s="4"/>
      <c r="I27" s="4"/>
      <c r="J27" s="4"/>
      <c r="K27" s="4"/>
      <c r="L27" s="12"/>
      <c r="M27" s="12"/>
      <c r="N27" s="12"/>
      <c r="O27" s="12"/>
      <c r="P27" s="4"/>
      <c r="Q27" s="4"/>
      <c r="R27" s="4"/>
      <c r="S27" s="4"/>
      <c r="T27" s="4"/>
      <c r="U27" s="4"/>
    </row>
    <row r="28">
      <c r="A28" s="12"/>
      <c r="B28" s="4"/>
      <c r="C28" s="4"/>
      <c r="D28" s="4"/>
      <c r="E28" s="4"/>
      <c r="F28" s="4"/>
      <c r="G28" s="4"/>
      <c r="H28" s="4"/>
      <c r="I28" s="4"/>
      <c r="J28" s="4"/>
      <c r="K28" s="4"/>
      <c r="L28" s="12"/>
      <c r="M28" s="12"/>
      <c r="N28" s="12"/>
      <c r="O28" s="12"/>
      <c r="P28" s="4"/>
      <c r="Q28" s="4"/>
      <c r="R28" s="4"/>
      <c r="S28" s="4"/>
      <c r="T28" s="4"/>
      <c r="U28" s="4"/>
    </row>
    <row r="29">
      <c r="A29" s="1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1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1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1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1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1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1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1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1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1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1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1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1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1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1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1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1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1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1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1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1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1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1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1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1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1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1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1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1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1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1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1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1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1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1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1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1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1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1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1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1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1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1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1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1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1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1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1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1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1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1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1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1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1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1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1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1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1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1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1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1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1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1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1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1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1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1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1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1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1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1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1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1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1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1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1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1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autoFilter ref="$B$1:$U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3" t="s">
        <v>93</v>
      </c>
      <c r="B1" s="13" t="s">
        <v>94</v>
      </c>
      <c r="C1" s="13"/>
      <c r="D1" s="13" t="s">
        <v>95</v>
      </c>
      <c r="E1" s="13" t="s">
        <v>96</v>
      </c>
      <c r="F1" s="13" t="s">
        <v>97</v>
      </c>
      <c r="G1" s="13" t="s">
        <v>98</v>
      </c>
      <c r="H1" s="13" t="s">
        <v>99</v>
      </c>
      <c r="I1" s="13" t="s">
        <v>100</v>
      </c>
      <c r="J1" s="13" t="s">
        <v>101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102</v>
      </c>
      <c r="B2" s="13" t="s">
        <v>103</v>
      </c>
      <c r="C2" s="13"/>
      <c r="D2" s="13" t="s">
        <v>104</v>
      </c>
      <c r="E2" s="13" t="s">
        <v>105</v>
      </c>
      <c r="F2" s="13" t="s">
        <v>106</v>
      </c>
      <c r="G2" s="14">
        <v>95.0</v>
      </c>
      <c r="H2" s="13" t="s">
        <v>106</v>
      </c>
      <c r="I2" s="13" t="s">
        <v>106</v>
      </c>
      <c r="J2" s="15">
        <v>46037.0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102</v>
      </c>
      <c r="B3" s="13" t="s">
        <v>107</v>
      </c>
      <c r="C3" s="13"/>
      <c r="D3" s="13" t="s">
        <v>108</v>
      </c>
      <c r="E3" s="13" t="s">
        <v>109</v>
      </c>
      <c r="F3" s="13" t="s">
        <v>106</v>
      </c>
      <c r="G3" s="14">
        <v>95.0</v>
      </c>
      <c r="H3" s="13" t="s">
        <v>106</v>
      </c>
      <c r="I3" s="13" t="s">
        <v>106</v>
      </c>
      <c r="J3" s="15">
        <v>46037.0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102</v>
      </c>
      <c r="B4" s="13" t="s">
        <v>110</v>
      </c>
      <c r="C4" s="13"/>
      <c r="D4" s="13" t="s">
        <v>111</v>
      </c>
      <c r="E4" s="13" t="s">
        <v>112</v>
      </c>
      <c r="F4" s="13" t="s">
        <v>106</v>
      </c>
      <c r="G4" s="14">
        <v>90.0</v>
      </c>
      <c r="H4" s="13" t="s">
        <v>113</v>
      </c>
      <c r="I4" s="13" t="s">
        <v>113</v>
      </c>
      <c r="J4" s="15">
        <v>46037.0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102</v>
      </c>
      <c r="B5" s="13" t="s">
        <v>114</v>
      </c>
      <c r="C5" s="13"/>
      <c r="D5" s="13" t="s">
        <v>115</v>
      </c>
      <c r="E5" s="13" t="s">
        <v>116</v>
      </c>
      <c r="F5" s="13" t="s">
        <v>106</v>
      </c>
      <c r="G5" s="14">
        <v>90.0</v>
      </c>
      <c r="H5" s="13" t="s">
        <v>113</v>
      </c>
      <c r="I5" s="13" t="s">
        <v>113</v>
      </c>
      <c r="J5" s="15">
        <v>46037.0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117</v>
      </c>
      <c r="B6" s="13" t="s">
        <v>118</v>
      </c>
      <c r="C6" s="13"/>
      <c r="D6" s="13" t="s">
        <v>119</v>
      </c>
      <c r="E6" s="13" t="s">
        <v>120</v>
      </c>
      <c r="F6" s="13" t="s">
        <v>106</v>
      </c>
      <c r="G6" s="14">
        <v>95.0</v>
      </c>
      <c r="H6" s="13" t="s">
        <v>106</v>
      </c>
      <c r="I6" s="13" t="s">
        <v>106</v>
      </c>
      <c r="J6" s="15">
        <v>46042.0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117</v>
      </c>
      <c r="B7" s="13" t="s">
        <v>121</v>
      </c>
      <c r="C7" s="13"/>
      <c r="D7" s="13" t="s">
        <v>122</v>
      </c>
      <c r="E7" s="13" t="s">
        <v>123</v>
      </c>
      <c r="F7" s="13" t="s">
        <v>106</v>
      </c>
      <c r="G7" s="14">
        <v>95.0</v>
      </c>
      <c r="H7" s="13" t="s">
        <v>106</v>
      </c>
      <c r="I7" s="13" t="s">
        <v>106</v>
      </c>
      <c r="J7" s="15">
        <v>46042.0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117</v>
      </c>
      <c r="B8" s="13" t="s">
        <v>124</v>
      </c>
      <c r="C8" s="13"/>
      <c r="D8" s="13" t="s">
        <v>125</v>
      </c>
      <c r="E8" s="13" t="s">
        <v>126</v>
      </c>
      <c r="F8" s="13" t="s">
        <v>106</v>
      </c>
      <c r="G8" s="14">
        <v>95.0</v>
      </c>
      <c r="H8" s="13" t="s">
        <v>106</v>
      </c>
      <c r="I8" s="13" t="s">
        <v>106</v>
      </c>
      <c r="J8" s="15">
        <v>46042.0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117</v>
      </c>
      <c r="B9" s="13" t="s">
        <v>127</v>
      </c>
      <c r="C9" s="13"/>
      <c r="D9" s="13" t="s">
        <v>128</v>
      </c>
      <c r="E9" s="13" t="s">
        <v>129</v>
      </c>
      <c r="F9" s="13" t="s">
        <v>106</v>
      </c>
      <c r="G9" s="14">
        <v>90.0</v>
      </c>
      <c r="H9" s="13" t="s">
        <v>106</v>
      </c>
      <c r="I9" s="13" t="s">
        <v>113</v>
      </c>
      <c r="J9" s="15">
        <v>46042.0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130</v>
      </c>
      <c r="B10" s="13" t="s">
        <v>131</v>
      </c>
      <c r="C10" s="13"/>
      <c r="D10" s="13" t="s">
        <v>132</v>
      </c>
      <c r="E10" s="13" t="s">
        <v>133</v>
      </c>
      <c r="F10" s="13" t="s">
        <v>106</v>
      </c>
      <c r="G10" s="14">
        <v>95.0</v>
      </c>
      <c r="H10" s="13" t="s">
        <v>106</v>
      </c>
      <c r="I10" s="13" t="s">
        <v>106</v>
      </c>
      <c r="J10" s="15">
        <v>46047.0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130</v>
      </c>
      <c r="B11" s="13" t="s">
        <v>134</v>
      </c>
      <c r="C11" s="13"/>
      <c r="D11" s="13" t="s">
        <v>135</v>
      </c>
      <c r="E11" s="13" t="s">
        <v>136</v>
      </c>
      <c r="F11" s="13" t="s">
        <v>106</v>
      </c>
      <c r="G11" s="14">
        <v>100.0</v>
      </c>
      <c r="H11" s="13" t="s">
        <v>106</v>
      </c>
      <c r="I11" s="13" t="s">
        <v>106</v>
      </c>
      <c r="J11" s="15">
        <v>46047.0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130</v>
      </c>
      <c r="B12" s="13" t="s">
        <v>137</v>
      </c>
      <c r="C12" s="13"/>
      <c r="D12" s="13" t="s">
        <v>138</v>
      </c>
      <c r="E12" s="13" t="s">
        <v>139</v>
      </c>
      <c r="F12" s="13" t="s">
        <v>106</v>
      </c>
      <c r="G12" s="14">
        <v>100.0</v>
      </c>
      <c r="H12" s="13" t="s">
        <v>106</v>
      </c>
      <c r="I12" s="13" t="s">
        <v>106</v>
      </c>
      <c r="J12" s="15">
        <v>46047.0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130</v>
      </c>
      <c r="B13" s="13" t="s">
        <v>140</v>
      </c>
      <c r="C13" s="13"/>
      <c r="D13" s="13" t="s">
        <v>141</v>
      </c>
      <c r="E13" s="13" t="s">
        <v>109</v>
      </c>
      <c r="F13" s="13" t="s">
        <v>106</v>
      </c>
      <c r="G13" s="14">
        <v>90.0</v>
      </c>
      <c r="H13" s="13" t="s">
        <v>113</v>
      </c>
      <c r="I13" s="13" t="s">
        <v>113</v>
      </c>
      <c r="J13" s="15">
        <v>46047.0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142</v>
      </c>
      <c r="B14" s="13" t="s">
        <v>143</v>
      </c>
      <c r="C14" s="13"/>
      <c r="D14" s="13" t="s">
        <v>144</v>
      </c>
      <c r="E14" s="13" t="s">
        <v>145</v>
      </c>
      <c r="F14" s="13" t="s">
        <v>106</v>
      </c>
      <c r="G14" s="14">
        <v>85.0</v>
      </c>
      <c r="H14" s="13" t="s">
        <v>113</v>
      </c>
      <c r="I14" s="13" t="s">
        <v>113</v>
      </c>
      <c r="J14" s="15">
        <v>46050.0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142</v>
      </c>
      <c r="B15" s="13" t="s">
        <v>146</v>
      </c>
      <c r="C15" s="13"/>
      <c r="D15" s="13" t="s">
        <v>147</v>
      </c>
      <c r="E15" s="13" t="s">
        <v>148</v>
      </c>
      <c r="F15" s="13" t="s">
        <v>106</v>
      </c>
      <c r="G15" s="14">
        <v>85.0</v>
      </c>
      <c r="H15" s="13" t="s">
        <v>113</v>
      </c>
      <c r="I15" s="13" t="s">
        <v>113</v>
      </c>
      <c r="J15" s="15">
        <v>46050.0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 t="s">
        <v>142</v>
      </c>
      <c r="B16" s="13" t="s">
        <v>149</v>
      </c>
      <c r="C16" s="13"/>
      <c r="D16" s="13" t="s">
        <v>144</v>
      </c>
      <c r="E16" s="13" t="s">
        <v>150</v>
      </c>
      <c r="F16" s="13" t="s">
        <v>106</v>
      </c>
      <c r="G16" s="14">
        <v>85.0</v>
      </c>
      <c r="H16" s="13" t="s">
        <v>113</v>
      </c>
      <c r="I16" s="13" t="s">
        <v>113</v>
      </c>
      <c r="J16" s="15">
        <v>46050.0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 t="s">
        <v>151</v>
      </c>
      <c r="B17" s="13" t="s">
        <v>152</v>
      </c>
      <c r="C17" s="13"/>
      <c r="D17" s="13" t="s">
        <v>153</v>
      </c>
      <c r="E17" s="13" t="s">
        <v>154</v>
      </c>
      <c r="F17" s="13" t="s">
        <v>106</v>
      </c>
      <c r="G17" s="14">
        <v>80.0</v>
      </c>
      <c r="H17" s="13" t="s">
        <v>113</v>
      </c>
      <c r="I17" s="13" t="s">
        <v>113</v>
      </c>
      <c r="J17" s="15">
        <v>46052.0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 t="s">
        <v>151</v>
      </c>
      <c r="B18" s="13" t="s">
        <v>155</v>
      </c>
      <c r="C18" s="13"/>
      <c r="D18" s="13" t="s">
        <v>156</v>
      </c>
      <c r="E18" s="13" t="s">
        <v>157</v>
      </c>
      <c r="F18" s="13" t="s">
        <v>106</v>
      </c>
      <c r="G18" s="14">
        <v>80.0</v>
      </c>
      <c r="H18" s="13" t="s">
        <v>113</v>
      </c>
      <c r="I18" s="13" t="s">
        <v>113</v>
      </c>
      <c r="J18" s="15">
        <v>46052.0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 t="s">
        <v>151</v>
      </c>
      <c r="B19" s="13" t="s">
        <v>158</v>
      </c>
      <c r="C19" s="13"/>
      <c r="D19" s="13" t="s">
        <v>108</v>
      </c>
      <c r="E19" s="13" t="s">
        <v>159</v>
      </c>
      <c r="F19" s="13" t="s">
        <v>106</v>
      </c>
      <c r="G19" s="14">
        <v>80.0</v>
      </c>
      <c r="H19" s="13" t="s">
        <v>113</v>
      </c>
      <c r="I19" s="13" t="s">
        <v>113</v>
      </c>
      <c r="J19" s="15">
        <v>46052.0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/>
      <c r="B22" s="16"/>
      <c r="C22" s="16"/>
      <c r="D22" s="16"/>
      <c r="E22" s="16"/>
      <c r="F22" s="16"/>
      <c r="G22" s="1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/>
      <c r="B23" s="16"/>
      <c r="C23" s="17"/>
      <c r="D23" s="16"/>
      <c r="E23" s="17"/>
      <c r="F23" s="17"/>
      <c r="G23" s="1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/>
      <c r="B24" s="16"/>
      <c r="C24" s="17"/>
      <c r="D24" s="18"/>
      <c r="E24" s="17"/>
      <c r="F24" s="17"/>
      <c r="G24" s="1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/>
      <c r="B25" s="16"/>
      <c r="C25" s="17"/>
      <c r="D25" s="18"/>
      <c r="E25" s="17"/>
      <c r="F25" s="17"/>
      <c r="G25" s="1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/>
      <c r="B26" s="16"/>
      <c r="C26" s="17"/>
      <c r="D26" s="18"/>
      <c r="E26" s="17"/>
      <c r="F26" s="17"/>
      <c r="G26" s="1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9"/>
      <c r="B27" s="16"/>
      <c r="C27" s="17"/>
      <c r="D27" s="20"/>
      <c r="E27" s="17"/>
      <c r="F27" s="17"/>
      <c r="G27" s="1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9"/>
      <c r="B28" s="16"/>
      <c r="C28" s="17"/>
      <c r="D28" s="20"/>
      <c r="E28" s="17"/>
      <c r="F28" s="17"/>
      <c r="G28" s="1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7"/>
      <c r="B29" s="16"/>
      <c r="C29" s="17"/>
      <c r="D29" s="16"/>
      <c r="E29" s="17"/>
      <c r="F29" s="17"/>
      <c r="G29" s="1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"/>
      <c r="B30" s="16"/>
      <c r="C30" s="17"/>
      <c r="D30" s="16"/>
      <c r="E30" s="17"/>
      <c r="F30" s="17"/>
      <c r="G30" s="1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/>
      <c r="B31" s="16"/>
      <c r="C31" s="17"/>
      <c r="D31" s="18"/>
      <c r="E31" s="17"/>
      <c r="F31" s="17"/>
      <c r="G31" s="1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7.5"/>
    <col customWidth="1" min="3" max="3" width="16.63"/>
    <col customWidth="1" min="4" max="4" width="19.63"/>
    <col customWidth="1" min="6" max="6" width="16.63"/>
    <col customWidth="1" min="7" max="7" width="9.13"/>
    <col customWidth="1" min="8" max="8" width="8.75"/>
    <col customWidth="1" min="9" max="10" width="9.63"/>
    <col customWidth="1" min="14" max="14" width="19.0"/>
    <col customWidth="1" min="17" max="17" width="15.88"/>
  </cols>
  <sheetData>
    <row r="1">
      <c r="A1" s="21"/>
      <c r="B1" s="22" t="s">
        <v>0</v>
      </c>
      <c r="C1" s="22" t="s">
        <v>1</v>
      </c>
      <c r="D1" s="23" t="s">
        <v>2</v>
      </c>
      <c r="E1" s="23" t="s">
        <v>3</v>
      </c>
      <c r="F1" s="23" t="s">
        <v>102</v>
      </c>
      <c r="G1" s="24" t="s">
        <v>117</v>
      </c>
      <c r="H1" s="25"/>
      <c r="I1" s="25"/>
      <c r="J1" s="26"/>
      <c r="K1" s="24" t="s">
        <v>130</v>
      </c>
      <c r="L1" s="25"/>
      <c r="M1" s="26"/>
      <c r="N1" s="24" t="s">
        <v>160</v>
      </c>
      <c r="O1" s="25"/>
      <c r="P1" s="26"/>
      <c r="Q1" s="27" t="s">
        <v>161</v>
      </c>
      <c r="R1" s="4"/>
    </row>
    <row r="2">
      <c r="A2" s="21" t="s">
        <v>162</v>
      </c>
      <c r="B2" s="22"/>
      <c r="C2" s="22"/>
      <c r="D2" s="23"/>
      <c r="E2" s="23"/>
      <c r="F2" s="23" t="s">
        <v>163</v>
      </c>
      <c r="G2" s="23" t="s">
        <v>5</v>
      </c>
      <c r="H2" s="23" t="s">
        <v>6</v>
      </c>
      <c r="I2" s="23" t="s">
        <v>164</v>
      </c>
      <c r="J2" s="23" t="s">
        <v>7</v>
      </c>
      <c r="K2" s="23" t="s">
        <v>8</v>
      </c>
      <c r="L2" s="23" t="s">
        <v>165</v>
      </c>
      <c r="M2" s="23" t="s">
        <v>9</v>
      </c>
      <c r="N2" s="23" t="s">
        <v>10</v>
      </c>
      <c r="O2" s="23" t="s">
        <v>14</v>
      </c>
      <c r="P2" s="23" t="s">
        <v>166</v>
      </c>
      <c r="Q2" s="27" t="s">
        <v>167</v>
      </c>
      <c r="R2" s="4"/>
    </row>
    <row r="3">
      <c r="A3" s="6"/>
      <c r="B3" s="6" t="s">
        <v>15</v>
      </c>
      <c r="C3" s="6" t="s">
        <v>16</v>
      </c>
      <c r="D3" s="6" t="s">
        <v>17</v>
      </c>
      <c r="E3" s="7" t="s">
        <v>18</v>
      </c>
      <c r="F3" s="28">
        <v>320.0</v>
      </c>
      <c r="G3" s="29">
        <v>86.0</v>
      </c>
      <c r="H3" s="6">
        <v>4.0</v>
      </c>
      <c r="I3" s="6" t="s">
        <v>19</v>
      </c>
      <c r="J3" s="6">
        <v>0.02</v>
      </c>
      <c r="K3" s="6">
        <v>3.0</v>
      </c>
      <c r="L3" s="6">
        <v>0.0</v>
      </c>
      <c r="M3" s="6">
        <v>99.0</v>
      </c>
      <c r="N3" s="6">
        <v>0.09</v>
      </c>
      <c r="O3" s="6">
        <v>0.08</v>
      </c>
      <c r="P3" s="6" t="s">
        <v>168</v>
      </c>
      <c r="Q3" s="30" t="s">
        <v>169</v>
      </c>
      <c r="R3" s="4"/>
    </row>
    <row r="4">
      <c r="A4" s="6"/>
      <c r="B4" s="6" t="s">
        <v>20</v>
      </c>
      <c r="C4" s="6" t="s">
        <v>21</v>
      </c>
      <c r="D4" s="6" t="s">
        <v>22</v>
      </c>
      <c r="E4" s="7" t="s">
        <v>23</v>
      </c>
      <c r="F4" s="28">
        <v>410.0</v>
      </c>
      <c r="G4" s="7">
        <v>92.0</v>
      </c>
      <c r="H4" s="6">
        <v>2.9</v>
      </c>
      <c r="I4" s="6" t="s">
        <v>19</v>
      </c>
      <c r="J4" s="6">
        <v>0.04</v>
      </c>
      <c r="K4" s="6">
        <v>4.0</v>
      </c>
      <c r="L4" s="6">
        <v>0.0</v>
      </c>
      <c r="M4" s="6">
        <v>98.0</v>
      </c>
      <c r="N4" s="6">
        <v>0.14</v>
      </c>
      <c r="O4" s="6">
        <v>0.13</v>
      </c>
      <c r="P4" s="6" t="s">
        <v>170</v>
      </c>
      <c r="Q4" s="30" t="s">
        <v>171</v>
      </c>
      <c r="R4" s="4"/>
    </row>
    <row r="5">
      <c r="A5" s="6"/>
      <c r="B5" s="6" t="s">
        <v>24</v>
      </c>
      <c r="C5" s="6" t="s">
        <v>25</v>
      </c>
      <c r="D5" s="6" t="s">
        <v>26</v>
      </c>
      <c r="E5" s="6" t="s">
        <v>23</v>
      </c>
      <c r="F5" s="31">
        <v>280.0</v>
      </c>
      <c r="G5" s="6">
        <v>89.0</v>
      </c>
      <c r="H5" s="6">
        <v>3.8</v>
      </c>
      <c r="I5" s="6" t="s">
        <v>19</v>
      </c>
      <c r="J5" s="6">
        <v>0.05</v>
      </c>
      <c r="K5" s="6">
        <v>5.0</v>
      </c>
      <c r="L5" s="6">
        <v>0.0</v>
      </c>
      <c r="M5" s="6">
        <v>98.0</v>
      </c>
      <c r="N5" s="6">
        <v>0.18</v>
      </c>
      <c r="O5" s="6">
        <v>0.17</v>
      </c>
      <c r="P5" s="6" t="s">
        <v>172</v>
      </c>
      <c r="Q5" s="30" t="s">
        <v>173</v>
      </c>
      <c r="R5" s="4"/>
    </row>
    <row r="6">
      <c r="A6" s="6"/>
      <c r="B6" s="6" t="s">
        <v>27</v>
      </c>
      <c r="C6" s="6" t="s">
        <v>28</v>
      </c>
      <c r="D6" s="6" t="s">
        <v>29</v>
      </c>
      <c r="E6" s="7" t="s">
        <v>18</v>
      </c>
      <c r="F6" s="28">
        <v>95.0</v>
      </c>
      <c r="G6" s="7">
        <v>84.0</v>
      </c>
      <c r="H6" s="6">
        <v>5.1</v>
      </c>
      <c r="I6" s="6" t="s">
        <v>19</v>
      </c>
      <c r="J6" s="6">
        <v>0.06</v>
      </c>
      <c r="K6" s="6">
        <v>6.0</v>
      </c>
      <c r="L6" s="6">
        <v>0.0</v>
      </c>
      <c r="M6" s="6">
        <v>97.0</v>
      </c>
      <c r="N6" s="6">
        <v>0.12</v>
      </c>
      <c r="O6" s="6">
        <v>0.11</v>
      </c>
      <c r="P6" s="6" t="s">
        <v>174</v>
      </c>
      <c r="Q6" s="30" t="s">
        <v>171</v>
      </c>
      <c r="R6" s="4"/>
    </row>
    <row r="7">
      <c r="A7" s="6"/>
      <c r="B7" s="6" t="s">
        <v>30</v>
      </c>
      <c r="C7" s="6" t="s">
        <v>31</v>
      </c>
      <c r="D7" s="6" t="s">
        <v>32</v>
      </c>
      <c r="E7" s="7" t="s">
        <v>18</v>
      </c>
      <c r="F7" s="28">
        <v>260.0</v>
      </c>
      <c r="G7" s="6">
        <v>88.0</v>
      </c>
      <c r="H7" s="6">
        <v>4.2</v>
      </c>
      <c r="I7" s="6" t="s">
        <v>19</v>
      </c>
      <c r="J7" s="6">
        <v>0.05</v>
      </c>
      <c r="K7" s="6">
        <v>5.0</v>
      </c>
      <c r="L7" s="6">
        <v>0.0</v>
      </c>
      <c r="M7" s="6">
        <v>97.0</v>
      </c>
      <c r="N7" s="6">
        <v>0.16</v>
      </c>
      <c r="O7" s="6">
        <v>0.15</v>
      </c>
      <c r="P7" s="6" t="s">
        <v>175</v>
      </c>
      <c r="Q7" s="30" t="s">
        <v>171</v>
      </c>
      <c r="R7" s="4"/>
    </row>
    <row r="8">
      <c r="A8" s="6"/>
      <c r="B8" s="6" t="s">
        <v>33</v>
      </c>
      <c r="C8" s="6" t="s">
        <v>34</v>
      </c>
      <c r="D8" s="6" t="s">
        <v>35</v>
      </c>
      <c r="E8" s="7" t="s">
        <v>23</v>
      </c>
      <c r="F8" s="28">
        <v>150.0</v>
      </c>
      <c r="G8" s="6">
        <v>94.0</v>
      </c>
      <c r="H8" s="6">
        <v>2.1</v>
      </c>
      <c r="I8" s="6" t="s">
        <v>19</v>
      </c>
      <c r="J8" s="6">
        <v>0.03</v>
      </c>
      <c r="K8" s="6">
        <v>3.0</v>
      </c>
      <c r="L8" s="6">
        <v>0.0</v>
      </c>
      <c r="M8" s="6">
        <v>96.0</v>
      </c>
      <c r="N8" s="6">
        <v>0.26</v>
      </c>
      <c r="O8" s="6">
        <v>0.24</v>
      </c>
      <c r="P8" s="6" t="s">
        <v>176</v>
      </c>
      <c r="Q8" s="30" t="s">
        <v>171</v>
      </c>
      <c r="R8" s="4"/>
    </row>
    <row r="9">
      <c r="A9" s="6"/>
      <c r="B9" s="6" t="s">
        <v>36</v>
      </c>
      <c r="C9" s="6" t="s">
        <v>37</v>
      </c>
      <c r="D9" s="6" t="s">
        <v>38</v>
      </c>
      <c r="E9" s="7" t="s">
        <v>18</v>
      </c>
      <c r="F9" s="28">
        <v>180.0</v>
      </c>
      <c r="G9" s="6">
        <v>91.0</v>
      </c>
      <c r="H9" s="6">
        <v>3.0</v>
      </c>
      <c r="I9" s="6" t="s">
        <v>19</v>
      </c>
      <c r="J9" s="6">
        <v>0.04</v>
      </c>
      <c r="K9" s="6">
        <v>4.0</v>
      </c>
      <c r="L9" s="6">
        <v>0.0</v>
      </c>
      <c r="M9" s="6">
        <v>95.0</v>
      </c>
      <c r="N9" s="6">
        <v>0.32</v>
      </c>
      <c r="O9" s="6">
        <v>0.29</v>
      </c>
      <c r="P9" s="6" t="s">
        <v>177</v>
      </c>
      <c r="Q9" s="30" t="s">
        <v>171</v>
      </c>
      <c r="R9" s="4"/>
    </row>
    <row r="10">
      <c r="A10" s="6"/>
      <c r="B10" s="6" t="s">
        <v>39</v>
      </c>
      <c r="C10" s="6" t="s">
        <v>40</v>
      </c>
      <c r="D10" s="6" t="s">
        <v>41</v>
      </c>
      <c r="E10" s="7" t="s">
        <v>18</v>
      </c>
      <c r="F10" s="28">
        <v>220.0</v>
      </c>
      <c r="G10" s="6">
        <v>93.0</v>
      </c>
      <c r="H10" s="6">
        <v>2.4</v>
      </c>
      <c r="I10" s="6" t="s">
        <v>19</v>
      </c>
      <c r="J10" s="6">
        <v>0.06</v>
      </c>
      <c r="K10" s="6">
        <v>6.0</v>
      </c>
      <c r="L10" s="6">
        <v>0.0</v>
      </c>
      <c r="M10" s="6">
        <v>97.0</v>
      </c>
      <c r="N10" s="6">
        <v>0.34</v>
      </c>
      <c r="O10" s="6">
        <v>0.31</v>
      </c>
      <c r="P10" s="6" t="s">
        <v>178</v>
      </c>
      <c r="Q10" s="30" t="s">
        <v>171</v>
      </c>
      <c r="R10" s="4"/>
    </row>
    <row r="11">
      <c r="A11" s="6"/>
      <c r="B11" s="6" t="s">
        <v>42</v>
      </c>
      <c r="C11" s="6" t="s">
        <v>43</v>
      </c>
      <c r="D11" s="6" t="s">
        <v>44</v>
      </c>
      <c r="E11" s="7" t="s">
        <v>18</v>
      </c>
      <c r="F11" s="28">
        <v>140.0</v>
      </c>
      <c r="G11" s="6">
        <v>88.0</v>
      </c>
      <c r="H11" s="6">
        <v>4.3</v>
      </c>
      <c r="I11" s="6">
        <v>5.0</v>
      </c>
      <c r="J11" s="6">
        <v>0.08</v>
      </c>
      <c r="K11" s="6">
        <v>8.0</v>
      </c>
      <c r="L11" s="6">
        <v>1.0</v>
      </c>
      <c r="M11" s="6">
        <v>96.0</v>
      </c>
      <c r="N11" s="6">
        <v>0.42</v>
      </c>
      <c r="O11" s="6">
        <v>0.4</v>
      </c>
      <c r="P11" s="6" t="s">
        <v>179</v>
      </c>
      <c r="Q11" s="30" t="s">
        <v>171</v>
      </c>
      <c r="R11" s="4"/>
    </row>
    <row r="12">
      <c r="A12" s="6"/>
      <c r="B12" s="6" t="s">
        <v>45</v>
      </c>
      <c r="C12" s="6" t="s">
        <v>46</v>
      </c>
      <c r="D12" s="6" t="s">
        <v>47</v>
      </c>
      <c r="E12" s="7" t="s">
        <v>18</v>
      </c>
      <c r="F12" s="28">
        <v>160.0</v>
      </c>
      <c r="G12" s="32">
        <v>58.0</v>
      </c>
      <c r="H12" s="6">
        <v>3.5</v>
      </c>
      <c r="I12" s="6">
        <v>6.0</v>
      </c>
      <c r="J12" s="6">
        <v>0.09</v>
      </c>
      <c r="K12" s="6">
        <v>10.0</v>
      </c>
      <c r="L12" s="6">
        <v>1.0</v>
      </c>
      <c r="M12" s="6">
        <v>98.0</v>
      </c>
      <c r="N12" s="6">
        <v>0.39</v>
      </c>
      <c r="O12" s="6">
        <v>0.37</v>
      </c>
      <c r="P12" s="6" t="s">
        <v>172</v>
      </c>
      <c r="Q12" s="30" t="s">
        <v>171</v>
      </c>
      <c r="R12" s="4"/>
    </row>
    <row r="13">
      <c r="A13" s="6"/>
      <c r="B13" s="6" t="s">
        <v>48</v>
      </c>
      <c r="C13" s="6" t="s">
        <v>49</v>
      </c>
      <c r="D13" s="6" t="s">
        <v>50</v>
      </c>
      <c r="E13" s="6" t="s">
        <v>23</v>
      </c>
      <c r="F13" s="31">
        <v>190.0</v>
      </c>
      <c r="G13" s="6">
        <v>89.0</v>
      </c>
      <c r="H13" s="6">
        <v>4.1</v>
      </c>
      <c r="I13" s="6">
        <v>4.0</v>
      </c>
      <c r="J13" s="6">
        <v>0.1</v>
      </c>
      <c r="K13" s="6">
        <v>12.0</v>
      </c>
      <c r="L13" s="6">
        <v>0.0</v>
      </c>
      <c r="M13" s="6">
        <v>99.0</v>
      </c>
      <c r="N13" s="6">
        <v>0.41</v>
      </c>
      <c r="O13" s="6">
        <v>0.39</v>
      </c>
      <c r="P13" s="6" t="s">
        <v>180</v>
      </c>
      <c r="Q13" s="30" t="s">
        <v>171</v>
      </c>
      <c r="R13" s="4"/>
    </row>
    <row r="14">
      <c r="A14" s="6"/>
      <c r="B14" s="6" t="s">
        <v>51</v>
      </c>
      <c r="C14" s="6" t="s">
        <v>49</v>
      </c>
      <c r="D14" s="6" t="s">
        <v>52</v>
      </c>
      <c r="E14" s="6" t="s">
        <v>23</v>
      </c>
      <c r="F14" s="31">
        <v>175.0</v>
      </c>
      <c r="G14" s="6">
        <v>90.0</v>
      </c>
      <c r="H14" s="6">
        <v>3.8</v>
      </c>
      <c r="I14" s="6">
        <v>5.0</v>
      </c>
      <c r="J14" s="6">
        <v>0.09</v>
      </c>
      <c r="K14" s="6">
        <v>11.0</v>
      </c>
      <c r="L14" s="6">
        <v>0.0</v>
      </c>
      <c r="M14" s="6">
        <v>98.0</v>
      </c>
      <c r="N14" s="6">
        <v>0.38</v>
      </c>
      <c r="O14" s="6">
        <v>0.36</v>
      </c>
      <c r="P14" s="6" t="s">
        <v>181</v>
      </c>
      <c r="Q14" s="30" t="s">
        <v>171</v>
      </c>
      <c r="R14" s="4"/>
    </row>
    <row r="15">
      <c r="A15" s="6"/>
      <c r="B15" s="6" t="s">
        <v>53</v>
      </c>
      <c r="C15" s="6" t="s">
        <v>54</v>
      </c>
      <c r="D15" s="6" t="s">
        <v>55</v>
      </c>
      <c r="E15" s="6" t="s">
        <v>23</v>
      </c>
      <c r="F15" s="31">
        <v>210.0</v>
      </c>
      <c r="G15" s="6">
        <v>92.0</v>
      </c>
      <c r="H15" s="6">
        <v>2.6</v>
      </c>
      <c r="I15" s="6">
        <v>4.0</v>
      </c>
      <c r="J15" s="6">
        <v>0.07</v>
      </c>
      <c r="K15" s="6">
        <v>7.0</v>
      </c>
      <c r="L15" s="6">
        <v>0.0</v>
      </c>
      <c r="M15" s="6">
        <v>97.0</v>
      </c>
      <c r="N15" s="6">
        <v>0.35</v>
      </c>
      <c r="O15" s="6">
        <v>0.33</v>
      </c>
      <c r="P15" s="6" t="s">
        <v>182</v>
      </c>
      <c r="Q15" s="30" t="s">
        <v>173</v>
      </c>
      <c r="R15" s="4"/>
    </row>
    <row r="16">
      <c r="A16" s="6"/>
      <c r="B16" s="6" t="s">
        <v>56</v>
      </c>
      <c r="C16" s="6" t="s">
        <v>57</v>
      </c>
      <c r="D16" s="6" t="s">
        <v>58</v>
      </c>
      <c r="E16" s="7" t="s">
        <v>18</v>
      </c>
      <c r="F16" s="28">
        <v>155.0</v>
      </c>
      <c r="G16" s="6">
        <v>89.0</v>
      </c>
      <c r="H16" s="6">
        <v>4.0</v>
      </c>
      <c r="I16" s="6">
        <v>6.0</v>
      </c>
      <c r="J16" s="6">
        <v>0.1</v>
      </c>
      <c r="K16" s="6">
        <v>12.0</v>
      </c>
      <c r="L16" s="6">
        <v>1.0</v>
      </c>
      <c r="M16" s="6">
        <v>97.0</v>
      </c>
      <c r="N16" s="6">
        <v>0.37</v>
      </c>
      <c r="O16" s="6">
        <v>0.35</v>
      </c>
      <c r="P16" s="6" t="s">
        <v>183</v>
      </c>
      <c r="Q16" s="30" t="s">
        <v>171</v>
      </c>
      <c r="R16" s="4"/>
    </row>
    <row r="17">
      <c r="A17" s="6"/>
      <c r="B17" s="6" t="s">
        <v>59</v>
      </c>
      <c r="C17" s="6" t="s">
        <v>60</v>
      </c>
      <c r="D17" s="6" t="s">
        <v>61</v>
      </c>
      <c r="E17" s="7" t="s">
        <v>18</v>
      </c>
      <c r="F17" s="28">
        <v>350.0</v>
      </c>
      <c r="G17" s="6">
        <v>94.0</v>
      </c>
      <c r="H17" s="6">
        <v>2.0</v>
      </c>
      <c r="I17" s="6">
        <v>1.0</v>
      </c>
      <c r="J17" s="6">
        <v>0.02</v>
      </c>
      <c r="K17" s="6">
        <v>3.0</v>
      </c>
      <c r="L17" s="6">
        <v>0.0</v>
      </c>
      <c r="M17" s="6">
        <v>99.0</v>
      </c>
      <c r="N17" s="6">
        <v>0.21</v>
      </c>
      <c r="O17" s="6">
        <v>0.2</v>
      </c>
      <c r="P17" s="6" t="s">
        <v>184</v>
      </c>
      <c r="Q17" s="30" t="s">
        <v>171</v>
      </c>
      <c r="R17" s="4"/>
    </row>
    <row r="18">
      <c r="A18" s="6"/>
      <c r="B18" s="6" t="s">
        <v>62</v>
      </c>
      <c r="C18" s="6" t="s">
        <v>63</v>
      </c>
      <c r="D18" s="6" t="s">
        <v>64</v>
      </c>
      <c r="E18" s="6" t="s">
        <v>23</v>
      </c>
      <c r="F18" s="31">
        <v>60.0</v>
      </c>
      <c r="G18" s="6">
        <v>85.0</v>
      </c>
      <c r="H18" s="6">
        <v>5.0</v>
      </c>
      <c r="I18" s="6" t="s">
        <v>19</v>
      </c>
      <c r="J18" s="6">
        <v>0.07</v>
      </c>
      <c r="K18" s="6">
        <v>6.0</v>
      </c>
      <c r="L18" s="6">
        <v>0.0</v>
      </c>
      <c r="M18" s="6">
        <v>96.0</v>
      </c>
      <c r="N18" s="6">
        <v>0.4</v>
      </c>
      <c r="O18" s="6">
        <v>0.38</v>
      </c>
      <c r="P18" s="6" t="s">
        <v>185</v>
      </c>
      <c r="Q18" s="30" t="s">
        <v>171</v>
      </c>
      <c r="R18" s="4"/>
    </row>
    <row r="19">
      <c r="A19" s="6"/>
      <c r="B19" s="6" t="s">
        <v>65</v>
      </c>
      <c r="C19" s="6" t="s">
        <v>66</v>
      </c>
      <c r="D19" s="6" t="s">
        <v>67</v>
      </c>
      <c r="E19" s="6" t="s">
        <v>23</v>
      </c>
      <c r="F19" s="31">
        <v>120.0</v>
      </c>
      <c r="G19" s="6">
        <v>91.0</v>
      </c>
      <c r="H19" s="6">
        <v>3.2</v>
      </c>
      <c r="I19" s="6">
        <v>6.0</v>
      </c>
      <c r="J19" s="6">
        <v>0.08</v>
      </c>
      <c r="K19" s="6">
        <v>9.0</v>
      </c>
      <c r="L19" s="6">
        <v>1.0</v>
      </c>
      <c r="M19" s="6">
        <v>98.0</v>
      </c>
      <c r="N19" s="6">
        <v>0.36</v>
      </c>
      <c r="O19" s="6">
        <v>0.34</v>
      </c>
      <c r="P19" s="6" t="s">
        <v>186</v>
      </c>
      <c r="Q19" s="30" t="s">
        <v>171</v>
      </c>
      <c r="R19" s="4"/>
    </row>
    <row r="20">
      <c r="A20" s="6"/>
      <c r="B20" s="6" t="s">
        <v>68</v>
      </c>
      <c r="C20" s="6" t="s">
        <v>69</v>
      </c>
      <c r="D20" s="6" t="s">
        <v>70</v>
      </c>
      <c r="E20" s="6" t="s">
        <v>23</v>
      </c>
      <c r="F20" s="31">
        <v>130.0</v>
      </c>
      <c r="G20" s="6">
        <v>96.0</v>
      </c>
      <c r="H20" s="6">
        <v>1.5</v>
      </c>
      <c r="I20" s="6">
        <v>1.0</v>
      </c>
      <c r="J20" s="6">
        <v>0.02</v>
      </c>
      <c r="K20" s="6">
        <v>2.0</v>
      </c>
      <c r="L20" s="6">
        <v>0.0</v>
      </c>
      <c r="M20" s="6">
        <v>99.0</v>
      </c>
      <c r="N20" s="6">
        <v>0.28</v>
      </c>
      <c r="O20" s="6">
        <v>0.25</v>
      </c>
      <c r="P20" s="6" t="s">
        <v>187</v>
      </c>
      <c r="Q20" s="30" t="s">
        <v>171</v>
      </c>
      <c r="R20" s="4"/>
    </row>
    <row r="21">
      <c r="A21" s="6"/>
      <c r="B21" s="6" t="s">
        <v>71</v>
      </c>
      <c r="C21" s="6" t="s">
        <v>72</v>
      </c>
      <c r="D21" s="6" t="s">
        <v>73</v>
      </c>
      <c r="E21" s="6" t="s">
        <v>23</v>
      </c>
      <c r="F21" s="31">
        <v>240.0</v>
      </c>
      <c r="G21" s="6">
        <v>90.0</v>
      </c>
      <c r="H21" s="6">
        <v>3.1</v>
      </c>
      <c r="I21" s="6" t="s">
        <v>19</v>
      </c>
      <c r="J21" s="6">
        <v>0.04</v>
      </c>
      <c r="K21" s="6">
        <v>4.0</v>
      </c>
      <c r="L21" s="6">
        <v>0.0</v>
      </c>
      <c r="M21" s="6">
        <v>98.0</v>
      </c>
      <c r="N21" s="6">
        <v>0.19</v>
      </c>
      <c r="O21" s="6">
        <v>0.16</v>
      </c>
      <c r="P21" s="6" t="s">
        <v>188</v>
      </c>
      <c r="Q21" s="30" t="s">
        <v>171</v>
      </c>
      <c r="R21" s="4"/>
    </row>
    <row r="22">
      <c r="A22" s="6"/>
      <c r="B22" s="6" t="s">
        <v>74</v>
      </c>
      <c r="C22" s="6" t="s">
        <v>75</v>
      </c>
      <c r="D22" s="6" t="s">
        <v>76</v>
      </c>
      <c r="E22" s="6" t="s">
        <v>23</v>
      </c>
      <c r="F22" s="31">
        <v>200.0</v>
      </c>
      <c r="G22" s="6">
        <v>88.0</v>
      </c>
      <c r="H22" s="6">
        <v>4.0</v>
      </c>
      <c r="I22" s="6" t="s">
        <v>19</v>
      </c>
      <c r="J22" s="6">
        <v>0.05</v>
      </c>
      <c r="K22" s="6">
        <v>5.0</v>
      </c>
      <c r="L22" s="6">
        <v>0.0</v>
      </c>
      <c r="M22" s="6">
        <v>97.0</v>
      </c>
      <c r="N22" s="6">
        <v>0.17</v>
      </c>
      <c r="O22" s="6">
        <v>0.15</v>
      </c>
      <c r="P22" s="6" t="s">
        <v>189</v>
      </c>
      <c r="Q22" s="30" t="s">
        <v>171</v>
      </c>
      <c r="R22" s="4"/>
    </row>
    <row r="23">
      <c r="A23" s="6"/>
      <c r="B23" s="6" t="s">
        <v>77</v>
      </c>
      <c r="C23" s="6" t="s">
        <v>78</v>
      </c>
      <c r="D23" s="6" t="s">
        <v>79</v>
      </c>
      <c r="E23" s="6" t="s">
        <v>80</v>
      </c>
      <c r="F23" s="31">
        <v>85.0</v>
      </c>
      <c r="G23" s="6">
        <v>86.0</v>
      </c>
      <c r="H23" s="6">
        <v>4.5</v>
      </c>
      <c r="I23" s="6">
        <v>8.0</v>
      </c>
      <c r="J23" s="6">
        <v>0.11</v>
      </c>
      <c r="K23" s="6">
        <v>14.0</v>
      </c>
      <c r="L23" s="6">
        <v>2.0</v>
      </c>
      <c r="M23" s="6">
        <v>96.0</v>
      </c>
      <c r="N23" s="6">
        <v>0.55</v>
      </c>
      <c r="O23" s="6">
        <v>0.52</v>
      </c>
      <c r="P23" s="6" t="s">
        <v>190</v>
      </c>
      <c r="Q23" s="30" t="s">
        <v>171</v>
      </c>
      <c r="R23" s="4"/>
    </row>
    <row r="24">
      <c r="A24" s="6"/>
      <c r="B24" s="6" t="s">
        <v>81</v>
      </c>
      <c r="C24" s="6" t="s">
        <v>82</v>
      </c>
      <c r="D24" s="6" t="s">
        <v>83</v>
      </c>
      <c r="E24" s="6" t="s">
        <v>23</v>
      </c>
      <c r="F24" s="31">
        <v>70.0</v>
      </c>
      <c r="G24" s="33">
        <v>84.0</v>
      </c>
      <c r="H24" s="6">
        <v>5.2</v>
      </c>
      <c r="I24" s="6">
        <v>9.0</v>
      </c>
      <c r="J24" s="6">
        <v>0.13</v>
      </c>
      <c r="K24" s="6">
        <v>16.0</v>
      </c>
      <c r="L24" s="6">
        <v>2.0</v>
      </c>
      <c r="M24" s="6">
        <v>95.0</v>
      </c>
      <c r="N24" s="6">
        <v>0.62</v>
      </c>
      <c r="O24" s="6">
        <v>0.6</v>
      </c>
      <c r="P24" s="6" t="s">
        <v>180</v>
      </c>
      <c r="Q24" s="30" t="s">
        <v>171</v>
      </c>
      <c r="R24" s="4"/>
    </row>
    <row r="25">
      <c r="A25" s="6"/>
      <c r="B25" s="6" t="s">
        <v>84</v>
      </c>
      <c r="C25" s="6" t="s">
        <v>85</v>
      </c>
      <c r="D25" s="6" t="s">
        <v>86</v>
      </c>
      <c r="E25" s="6" t="s">
        <v>23</v>
      </c>
      <c r="F25" s="31">
        <v>145.0</v>
      </c>
      <c r="G25" s="6">
        <v>88.0</v>
      </c>
      <c r="H25" s="6">
        <v>4.0</v>
      </c>
      <c r="I25" s="6">
        <v>5.0</v>
      </c>
      <c r="J25" s="6">
        <v>0.09</v>
      </c>
      <c r="K25" s="6">
        <v>10.0</v>
      </c>
      <c r="L25" s="6">
        <v>1.0</v>
      </c>
      <c r="M25" s="6">
        <v>97.0</v>
      </c>
      <c r="N25" s="6">
        <v>0.4</v>
      </c>
      <c r="O25" s="6">
        <v>0.38</v>
      </c>
      <c r="P25" s="6" t="s">
        <v>177</v>
      </c>
      <c r="Q25" s="30" t="s">
        <v>171</v>
      </c>
      <c r="R25" s="4"/>
    </row>
    <row r="26">
      <c r="A26" s="6"/>
      <c r="B26" s="6" t="s">
        <v>87</v>
      </c>
      <c r="C26" s="6" t="s">
        <v>88</v>
      </c>
      <c r="D26" s="6" t="s">
        <v>89</v>
      </c>
      <c r="E26" s="6" t="s">
        <v>23</v>
      </c>
      <c r="F26" s="31">
        <v>260.0</v>
      </c>
      <c r="G26" s="6">
        <v>92.0</v>
      </c>
      <c r="H26" s="6">
        <v>2.9</v>
      </c>
      <c r="I26" s="6">
        <v>2.0</v>
      </c>
      <c r="J26" s="6">
        <v>0.05</v>
      </c>
      <c r="K26" s="6">
        <v>5.0</v>
      </c>
      <c r="L26" s="6">
        <v>0.0</v>
      </c>
      <c r="M26" s="6">
        <v>98.0</v>
      </c>
      <c r="N26" s="6">
        <v>0.29</v>
      </c>
      <c r="O26" s="6">
        <v>0.27</v>
      </c>
      <c r="P26" s="6" t="s">
        <v>191</v>
      </c>
      <c r="Q26" s="30" t="s">
        <v>169</v>
      </c>
      <c r="R26" s="4"/>
    </row>
    <row r="27">
      <c r="A27" s="6"/>
      <c r="B27" s="6" t="s">
        <v>90</v>
      </c>
      <c r="C27" s="6" t="s">
        <v>91</v>
      </c>
      <c r="D27" s="6" t="s">
        <v>92</v>
      </c>
      <c r="E27" s="6" t="s">
        <v>23</v>
      </c>
      <c r="F27" s="31">
        <v>65.0</v>
      </c>
      <c r="G27" s="6">
        <v>83.0</v>
      </c>
      <c r="H27" s="6">
        <v>6.1</v>
      </c>
      <c r="I27" s="6">
        <v>10.0</v>
      </c>
      <c r="J27" s="6">
        <v>0.14</v>
      </c>
      <c r="K27" s="6">
        <v>18.0</v>
      </c>
      <c r="L27" s="6">
        <v>2.0</v>
      </c>
      <c r="M27" s="6">
        <v>94.0</v>
      </c>
      <c r="N27" s="6">
        <v>0.7</v>
      </c>
      <c r="O27" s="6">
        <v>0.68</v>
      </c>
      <c r="P27" s="6" t="s">
        <v>168</v>
      </c>
      <c r="Q27" s="30" t="s">
        <v>171</v>
      </c>
      <c r="R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4"/>
      <c r="B30" s="4"/>
      <c r="C30" s="4"/>
      <c r="D30" s="4"/>
      <c r="E30" s="4"/>
      <c r="F30" s="4"/>
      <c r="G30" s="4"/>
      <c r="H30" s="3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</sheetData>
  <autoFilter ref="$C$2:$Q$1001"/>
  <mergeCells count="3">
    <mergeCell ref="G1:J1"/>
    <mergeCell ref="K1:M1"/>
    <mergeCell ref="N1: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63"/>
    <col customWidth="1" min="3" max="3" width="22.88"/>
  </cols>
  <sheetData>
    <row r="1">
      <c r="A1" s="35" t="s">
        <v>93</v>
      </c>
      <c r="B1" s="35" t="s">
        <v>94</v>
      </c>
      <c r="C1" s="35" t="s">
        <v>95</v>
      </c>
      <c r="D1" s="35" t="s">
        <v>3</v>
      </c>
      <c r="E1" s="35" t="s">
        <v>98</v>
      </c>
      <c r="F1" s="35" t="s">
        <v>99</v>
      </c>
      <c r="G1" s="35" t="s">
        <v>100</v>
      </c>
      <c r="H1" s="36" t="s">
        <v>192</v>
      </c>
      <c r="I1" s="35" t="s">
        <v>193</v>
      </c>
      <c r="J1" s="36" t="s">
        <v>194</v>
      </c>
      <c r="K1" s="35" t="s">
        <v>101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7" t="s">
        <v>102</v>
      </c>
      <c r="B2" s="37" t="s">
        <v>103</v>
      </c>
      <c r="C2" s="37" t="s">
        <v>195</v>
      </c>
      <c r="D2" s="38"/>
      <c r="E2" s="39">
        <v>98.0</v>
      </c>
      <c r="F2" s="37" t="s">
        <v>106</v>
      </c>
      <c r="G2" s="37" t="s">
        <v>106</v>
      </c>
      <c r="H2" s="40">
        <f>'Post-Go-Live Monitoring Report'!F3</f>
        <v>320</v>
      </c>
      <c r="I2" s="38" t="s">
        <v>196</v>
      </c>
      <c r="J2" s="41"/>
      <c r="K2" s="42">
        <v>46082.0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7"/>
      <c r="B3" s="37" t="s">
        <v>107</v>
      </c>
      <c r="C3" s="37" t="s">
        <v>108</v>
      </c>
      <c r="D3" s="38"/>
      <c r="E3" s="39">
        <v>98.0</v>
      </c>
      <c r="F3" s="37" t="s">
        <v>106</v>
      </c>
      <c r="G3" s="37" t="s">
        <v>106</v>
      </c>
      <c r="H3" s="41"/>
      <c r="I3" s="38" t="s">
        <v>109</v>
      </c>
      <c r="J3" s="41"/>
      <c r="K3" s="42">
        <v>46082.0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7"/>
      <c r="B4" s="37" t="s">
        <v>110</v>
      </c>
      <c r="C4" s="37" t="s">
        <v>111</v>
      </c>
      <c r="D4" s="38"/>
      <c r="E4" s="39">
        <v>95.0</v>
      </c>
      <c r="F4" s="37" t="s">
        <v>106</v>
      </c>
      <c r="G4" s="37" t="s">
        <v>106</v>
      </c>
      <c r="H4" s="41"/>
      <c r="I4" s="38" t="s">
        <v>197</v>
      </c>
      <c r="J4" s="41"/>
      <c r="K4" s="42">
        <v>46082.0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7"/>
      <c r="B5" s="37" t="s">
        <v>114</v>
      </c>
      <c r="C5" s="37" t="s">
        <v>198</v>
      </c>
      <c r="D5" s="38"/>
      <c r="E5" s="39">
        <v>95.0</v>
      </c>
      <c r="F5" s="37" t="s">
        <v>113</v>
      </c>
      <c r="G5" s="37" t="s">
        <v>113</v>
      </c>
      <c r="H5" s="41"/>
      <c r="I5" s="38" t="s">
        <v>199</v>
      </c>
      <c r="J5" s="41"/>
      <c r="K5" s="42">
        <v>46082.0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7" t="s">
        <v>117</v>
      </c>
      <c r="B6" s="37" t="s">
        <v>118</v>
      </c>
      <c r="C6" s="37" t="s">
        <v>119</v>
      </c>
      <c r="D6" s="38"/>
      <c r="E6" s="39">
        <v>98.0</v>
      </c>
      <c r="F6" s="37" t="s">
        <v>106</v>
      </c>
      <c r="G6" s="37" t="s">
        <v>106</v>
      </c>
      <c r="H6" s="41"/>
      <c r="I6" s="38" t="s">
        <v>120</v>
      </c>
      <c r="J6" s="41"/>
      <c r="K6" s="42">
        <v>46083.0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7"/>
      <c r="B7" s="37" t="s">
        <v>121</v>
      </c>
      <c r="C7" s="37" t="s">
        <v>200</v>
      </c>
      <c r="D7" s="38"/>
      <c r="E7" s="39">
        <v>98.0</v>
      </c>
      <c r="F7" s="37" t="s">
        <v>106</v>
      </c>
      <c r="G7" s="37" t="s">
        <v>106</v>
      </c>
      <c r="H7" s="41"/>
      <c r="I7" s="38" t="s">
        <v>201</v>
      </c>
      <c r="J7" s="41"/>
      <c r="K7" s="42">
        <v>46083.0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7"/>
      <c r="B8" s="37" t="s">
        <v>124</v>
      </c>
      <c r="C8" s="37" t="s">
        <v>125</v>
      </c>
      <c r="D8" s="38"/>
      <c r="E8" s="39">
        <v>98.0</v>
      </c>
      <c r="F8" s="37" t="s">
        <v>106</v>
      </c>
      <c r="G8" s="37" t="s">
        <v>106</v>
      </c>
      <c r="H8" s="41"/>
      <c r="I8" s="38" t="s">
        <v>126</v>
      </c>
      <c r="J8" s="41"/>
      <c r="K8" s="42">
        <v>46083.0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7"/>
      <c r="B9" s="37" t="s">
        <v>127</v>
      </c>
      <c r="C9" s="37" t="s">
        <v>128</v>
      </c>
      <c r="D9" s="38"/>
      <c r="E9" s="39">
        <v>95.0</v>
      </c>
      <c r="F9" s="37" t="s">
        <v>106</v>
      </c>
      <c r="G9" s="37" t="s">
        <v>106</v>
      </c>
      <c r="H9" s="41"/>
      <c r="I9" s="38" t="s">
        <v>129</v>
      </c>
      <c r="J9" s="41"/>
      <c r="K9" s="42">
        <v>46083.0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7" t="s">
        <v>130</v>
      </c>
      <c r="B10" s="37" t="s">
        <v>131</v>
      </c>
      <c r="C10" s="37" t="s">
        <v>202</v>
      </c>
      <c r="D10" s="38"/>
      <c r="E10" s="39">
        <v>98.0</v>
      </c>
      <c r="F10" s="37" t="s">
        <v>106</v>
      </c>
      <c r="G10" s="37" t="s">
        <v>106</v>
      </c>
      <c r="H10" s="41"/>
      <c r="I10" s="38" t="s">
        <v>203</v>
      </c>
      <c r="J10" s="41"/>
      <c r="K10" s="42">
        <v>46084.0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7"/>
      <c r="B11" s="37" t="s">
        <v>134</v>
      </c>
      <c r="C11" s="37" t="s">
        <v>135</v>
      </c>
      <c r="D11" s="38"/>
      <c r="E11" s="39">
        <v>100.0</v>
      </c>
      <c r="F11" s="37" t="s">
        <v>106</v>
      </c>
      <c r="G11" s="37" t="s">
        <v>106</v>
      </c>
      <c r="H11" s="41"/>
      <c r="I11" s="38" t="s">
        <v>136</v>
      </c>
      <c r="J11" s="41"/>
      <c r="K11" s="42">
        <v>46084.0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7"/>
      <c r="B12" s="37" t="s">
        <v>137</v>
      </c>
      <c r="C12" s="37" t="s">
        <v>204</v>
      </c>
      <c r="D12" s="38"/>
      <c r="E12" s="39">
        <v>100.0</v>
      </c>
      <c r="F12" s="37" t="s">
        <v>106</v>
      </c>
      <c r="G12" s="37" t="s">
        <v>106</v>
      </c>
      <c r="H12" s="41"/>
      <c r="I12" s="38" t="s">
        <v>139</v>
      </c>
      <c r="J12" s="41"/>
      <c r="K12" s="42">
        <v>46084.0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7"/>
      <c r="B13" s="37" t="s">
        <v>140</v>
      </c>
      <c r="C13" s="37" t="s">
        <v>205</v>
      </c>
      <c r="D13" s="38"/>
      <c r="E13" s="39">
        <v>95.0</v>
      </c>
      <c r="F13" s="37" t="s">
        <v>113</v>
      </c>
      <c r="G13" s="37" t="s">
        <v>113</v>
      </c>
      <c r="H13" s="41"/>
      <c r="I13" s="38" t="s">
        <v>109</v>
      </c>
      <c r="J13" s="41"/>
      <c r="K13" s="42">
        <v>46084.0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7" t="s">
        <v>142</v>
      </c>
      <c r="B14" s="37" t="s">
        <v>143</v>
      </c>
      <c r="C14" s="37" t="s">
        <v>144</v>
      </c>
      <c r="D14" s="38"/>
      <c r="E14" s="39">
        <v>90.0</v>
      </c>
      <c r="F14" s="37" t="s">
        <v>106</v>
      </c>
      <c r="G14" s="37" t="s">
        <v>113</v>
      </c>
      <c r="H14" s="41"/>
      <c r="I14" s="38" t="s">
        <v>206</v>
      </c>
      <c r="J14" s="41"/>
      <c r="K14" s="42">
        <v>46085.0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7"/>
      <c r="B15" s="37" t="s">
        <v>146</v>
      </c>
      <c r="C15" s="37" t="s">
        <v>147</v>
      </c>
      <c r="D15" s="38"/>
      <c r="E15" s="39">
        <v>90.0</v>
      </c>
      <c r="F15" s="37" t="s">
        <v>106</v>
      </c>
      <c r="G15" s="37" t="s">
        <v>113</v>
      </c>
      <c r="H15" s="41"/>
      <c r="I15" s="38" t="s">
        <v>148</v>
      </c>
      <c r="J15" s="41"/>
      <c r="K15" s="42">
        <v>46085.0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7"/>
      <c r="B16" s="37" t="s">
        <v>149</v>
      </c>
      <c r="C16" s="37" t="s">
        <v>144</v>
      </c>
      <c r="D16" s="38" t="s">
        <v>207</v>
      </c>
      <c r="E16" s="39">
        <v>90.0</v>
      </c>
      <c r="F16" s="37" t="s">
        <v>106</v>
      </c>
      <c r="G16" s="37" t="s">
        <v>113</v>
      </c>
      <c r="H16" s="43" t="s">
        <v>206</v>
      </c>
      <c r="I16" s="38" t="s">
        <v>208</v>
      </c>
      <c r="J16" s="43" t="s">
        <v>209</v>
      </c>
      <c r="K16" s="42">
        <v>46085.0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37" t="s">
        <v>151</v>
      </c>
      <c r="B17" s="37" t="s">
        <v>152</v>
      </c>
      <c r="C17" s="37" t="s">
        <v>153</v>
      </c>
      <c r="D17" s="38"/>
      <c r="E17" s="39">
        <v>85.0</v>
      </c>
      <c r="F17" s="37" t="s">
        <v>113</v>
      </c>
      <c r="G17" s="37" t="s">
        <v>113</v>
      </c>
      <c r="H17" s="41"/>
      <c r="I17" s="38" t="s">
        <v>154</v>
      </c>
      <c r="J17" s="41"/>
      <c r="K17" s="42">
        <v>46085.0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7"/>
      <c r="B18" s="37" t="s">
        <v>155</v>
      </c>
      <c r="C18" s="37" t="s">
        <v>156</v>
      </c>
      <c r="D18" s="38"/>
      <c r="E18" s="39">
        <v>85.0</v>
      </c>
      <c r="F18" s="37" t="s">
        <v>113</v>
      </c>
      <c r="G18" s="37" t="s">
        <v>113</v>
      </c>
      <c r="H18" s="41"/>
      <c r="I18" s="38" t="s">
        <v>210</v>
      </c>
      <c r="J18" s="41"/>
      <c r="K18" s="42">
        <v>46085.0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7"/>
      <c r="B19" s="37" t="s">
        <v>158</v>
      </c>
      <c r="C19" s="37" t="s">
        <v>108</v>
      </c>
      <c r="D19" s="38"/>
      <c r="E19" s="39">
        <v>85.0</v>
      </c>
      <c r="F19" s="37" t="s">
        <v>113</v>
      </c>
      <c r="G19" s="37" t="s">
        <v>113</v>
      </c>
      <c r="H19" s="41"/>
      <c r="I19" s="38" t="s">
        <v>211</v>
      </c>
      <c r="J19" s="41"/>
      <c r="K19" s="42">
        <v>46085.0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6"/>
      <c r="B22" s="16"/>
      <c r="C22" s="16"/>
      <c r="D22" s="16"/>
      <c r="E22" s="16"/>
      <c r="F22" s="16"/>
      <c r="G22" s="1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7"/>
      <c r="B23" s="16"/>
      <c r="C23" s="17"/>
      <c r="D23" s="16"/>
      <c r="E23" s="17"/>
      <c r="F23" s="17"/>
      <c r="G23" s="1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9"/>
      <c r="B24" s="16"/>
      <c r="C24" s="17"/>
      <c r="D24" s="20"/>
      <c r="E24" s="17"/>
      <c r="F24" s="17"/>
      <c r="G24" s="1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7"/>
      <c r="B25" s="16"/>
      <c r="C25" s="17"/>
      <c r="D25" s="18"/>
      <c r="E25" s="17"/>
      <c r="F25" s="17"/>
      <c r="G25" s="1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9"/>
      <c r="B26" s="16"/>
      <c r="C26" s="17"/>
      <c r="D26" s="20"/>
      <c r="E26" s="17"/>
      <c r="F26" s="17"/>
      <c r="G26" s="1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9"/>
      <c r="B27" s="16"/>
      <c r="C27" s="17"/>
      <c r="D27" s="20"/>
      <c r="E27" s="17"/>
      <c r="F27" s="17"/>
      <c r="G27" s="1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7"/>
      <c r="B28" s="16"/>
      <c r="C28" s="17"/>
      <c r="D28" s="16"/>
      <c r="E28" s="17"/>
      <c r="F28" s="17"/>
      <c r="G28" s="1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7"/>
      <c r="B29" s="16"/>
      <c r="C29" s="17"/>
      <c r="D29" s="44"/>
      <c r="E29" s="17"/>
      <c r="F29" s="17"/>
      <c r="G29" s="1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9"/>
      <c r="B30" s="16"/>
      <c r="C30" s="17"/>
      <c r="D30" s="18"/>
      <c r="E30" s="17"/>
      <c r="F30" s="17"/>
      <c r="G30" s="1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